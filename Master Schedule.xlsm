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4.xml" ContentType="application/vnd.openxmlformats-officedocument.spreadsheetml.table+xml"/>
  <Override PartName="/xl/drawings/drawing1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1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18.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19.xml" ContentType="application/vnd.openxmlformats-officedocument.drawing+xml"/>
  <Override PartName="/xl/tables/table11.xml" ContentType="application/vnd.openxmlformats-officedocument.spreadsheetml.table+xml"/>
  <Override PartName="/xl/drawings/drawing20.xml" ContentType="application/vnd.openxmlformats-officedocument.drawing+xml"/>
  <Override PartName="/xl/tables/table12.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santeoperations-my.sharepoint.com/personal/gabriel_krausse_alumus_com/Documents/Desktop/"/>
    </mc:Choice>
  </mc:AlternateContent>
  <xr:revisionPtr revIDLastSave="0" documentId="8_{D31FAB14-1522-48B6-9809-BB4165132CF5}" xr6:coauthVersionLast="47" xr6:coauthVersionMax="47" xr10:uidLastSave="{00000000-0000-0000-0000-000000000000}"/>
  <bookViews>
    <workbookView xWindow="-120" yWindow="-120" windowWidth="29040" windowHeight="15720" tabRatio="904" xr2:uid="{46C3802C-CB4F-4B0E-8918-CF19C0FDB63C}"/>
  </bookViews>
  <sheets>
    <sheet name="Home" sheetId="27" r:id="rId1"/>
    <sheet name="January" sheetId="26" r:id="rId2"/>
    <sheet name="February" sheetId="25" r:id="rId3"/>
    <sheet name="March" sheetId="1" r:id="rId4"/>
    <sheet name="April" sheetId="12" r:id="rId5"/>
    <sheet name="May" sheetId="13" r:id="rId6"/>
    <sheet name="June" sheetId="14" r:id="rId7"/>
    <sheet name="July" sheetId="15" r:id="rId8"/>
    <sheet name="August" sheetId="16" r:id="rId9"/>
    <sheet name="September" sheetId="17" r:id="rId10"/>
    <sheet name="October" sheetId="18" r:id="rId11"/>
    <sheet name="November" sheetId="19" r:id="rId12"/>
    <sheet name="December" sheetId="20" r:id="rId13"/>
    <sheet name="MKT Events" sheetId="23" r:id="rId14"/>
    <sheet name="Recruiting Events" sheetId="24" r:id="rId15"/>
    <sheet name="Data" sheetId="36" r:id="rId16"/>
    <sheet name="Sante" sheetId="39" r:id="rId17"/>
    <sheet name="Sante BS" sheetId="42" r:id="rId18"/>
    <sheet name="Aleca" sheetId="37" r:id="rId19"/>
    <sheet name="Alante" sheetId="38" r:id="rId20"/>
    <sheet name="Alumus" sheetId="40" r:id="rId21"/>
    <sheet name="Encore" sheetId="41" r:id="rId22"/>
  </sheets>
  <definedNames>
    <definedName name="_xlnm._FilterDatabase" localSheetId="18" hidden="1">Aleca!$A$2:$E$2</definedName>
    <definedName name="_xleta.SUM" hidden="1" xlm="1">#NAME?</definedName>
    <definedName name="ExternalData_1" localSheetId="0" hidden="1">Home!$H$19:$K$22</definedName>
    <definedName name="ExternalData_2" localSheetId="0" hidden="1">Home!$H$5:$L$13</definedName>
    <definedName name="ExternalData_4" localSheetId="0" hidden="1">Home!#REF!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38" l="1" a="1"/>
  <c r="D32" i="38" s="1"/>
  <c r="D33" i="38" a="1"/>
  <c r="D33" i="38" s="1"/>
  <c r="D34" i="38" a="1"/>
  <c r="D34" i="38" s="1"/>
  <c r="D35" i="38" a="1"/>
  <c r="D35" i="38"/>
  <c r="D36" i="38" a="1"/>
  <c r="D36" i="38" s="1"/>
  <c r="D37" i="38" a="1"/>
  <c r="D37" i="38" s="1"/>
  <c r="D38" i="38" a="1"/>
  <c r="D38" i="38" s="1"/>
  <c r="D39" i="38" a="1"/>
  <c r="D39" i="38" s="1"/>
  <c r="D40" i="38" a="1"/>
  <c r="D40" i="38" s="1"/>
  <c r="D41" i="38" a="1"/>
  <c r="D41" i="38"/>
  <c r="D42" i="38" a="1"/>
  <c r="D42" i="38" s="1"/>
  <c r="D43" i="38" a="1"/>
  <c r="D43" i="38" s="1"/>
  <c r="D44" i="38" a="1"/>
  <c r="D44" i="38" s="1"/>
  <c r="D45" i="38" a="1"/>
  <c r="D45" i="38" s="1"/>
  <c r="D46" i="38" a="1"/>
  <c r="D46" i="38" s="1"/>
  <c r="D47" i="38" a="1"/>
  <c r="D47" i="38" s="1"/>
  <c r="D48" i="38" a="1"/>
  <c r="D48" i="38" s="1"/>
  <c r="D49" i="38" a="1"/>
  <c r="D49" i="38" s="1"/>
  <c r="D50" i="38" a="1"/>
  <c r="D50" i="38" s="1"/>
  <c r="D51" i="38" a="1"/>
  <c r="D51" i="38" s="1"/>
  <c r="D52" i="38" a="1"/>
  <c r="D52" i="38" s="1"/>
  <c r="D53" i="38" a="1"/>
  <c r="D53" i="38" s="1"/>
  <c r="D54" i="38" a="1"/>
  <c r="D54" i="38" s="1"/>
  <c r="D55" i="38" a="1"/>
  <c r="D55" i="38" s="1"/>
  <c r="D56" i="38" a="1"/>
  <c r="D56" i="38" s="1"/>
  <c r="D57" i="38" a="1"/>
  <c r="D57" i="38" s="1"/>
  <c r="D58" i="38" a="1"/>
  <c r="D58" i="38" s="1"/>
  <c r="D59" i="38" a="1"/>
  <c r="D59" i="38" s="1"/>
  <c r="D60" i="38" a="1"/>
  <c r="D60" i="38" s="1"/>
  <c r="D61" i="38" a="1"/>
  <c r="D61" i="38" s="1"/>
  <c r="D62" i="38" a="1"/>
  <c r="D62" i="38" s="1"/>
  <c r="I58" i="38" a="1"/>
  <c r="I58" i="38" s="1"/>
  <c r="I59" i="38" a="1"/>
  <c r="I59" i="38" s="1"/>
  <c r="I60" i="38" a="1"/>
  <c r="I60" i="38" s="1"/>
  <c r="I61" i="38" a="1"/>
  <c r="I61" i="38" s="1"/>
  <c r="I48" i="38" a="1"/>
  <c r="I48" i="38" s="1"/>
  <c r="I49" i="38" a="1"/>
  <c r="I49" i="38" s="1"/>
  <c r="I50" i="38" a="1"/>
  <c r="I50" i="38"/>
  <c r="I51" i="38" a="1"/>
  <c r="I51" i="38"/>
  <c r="I52" i="38" a="1"/>
  <c r="I52" i="38" s="1"/>
  <c r="I53" i="38" a="1"/>
  <c r="I53" i="38" s="1"/>
  <c r="I54" i="38" a="1"/>
  <c r="I54" i="38" s="1"/>
  <c r="I55" i="38" a="1"/>
  <c r="I55" i="38" s="1"/>
  <c r="I56" i="38" a="1"/>
  <c r="I56" i="38"/>
  <c r="I57" i="38" a="1"/>
  <c r="I57" i="38"/>
  <c r="I31" i="38" a="1"/>
  <c r="I31" i="38" s="1"/>
  <c r="I32" i="38" a="1"/>
  <c r="I32" i="38" s="1"/>
  <c r="I33" i="38" a="1"/>
  <c r="I33" i="38" s="1"/>
  <c r="I34" i="38" a="1"/>
  <c r="I34" i="38"/>
  <c r="I35" i="38" a="1"/>
  <c r="I35" i="38" s="1"/>
  <c r="I36" i="38" a="1"/>
  <c r="I36" i="38"/>
  <c r="I37" i="38" a="1"/>
  <c r="I37" i="38" s="1"/>
  <c r="I38" i="38" a="1"/>
  <c r="I38" i="38" s="1"/>
  <c r="I39" i="38" a="1"/>
  <c r="I39" i="38" s="1"/>
  <c r="I40" i="38" a="1"/>
  <c r="I40" i="38" s="1"/>
  <c r="I41" i="38" a="1"/>
  <c r="I41" i="38" s="1"/>
  <c r="I42" i="38" a="1"/>
  <c r="I42" i="38" s="1"/>
  <c r="I43" i="38" a="1"/>
  <c r="I43" i="38" s="1"/>
  <c r="I44" i="38" a="1"/>
  <c r="I44" i="38" s="1"/>
  <c r="I45" i="38" a="1"/>
  <c r="I45" i="38" s="1"/>
  <c r="I46" i="38" a="1"/>
  <c r="I46" i="38" s="1"/>
  <c r="I47" i="38" a="1"/>
  <c r="I47" i="38" s="1"/>
  <c r="D32" i="39" a="1"/>
  <c r="D32" i="39" s="1"/>
  <c r="D33" i="39" a="1"/>
  <c r="D33" i="39"/>
  <c r="D34" i="39" a="1"/>
  <c r="D34" i="39"/>
  <c r="D35" i="39" a="1"/>
  <c r="D35" i="39"/>
  <c r="D36" i="39" a="1"/>
  <c r="D36" i="39"/>
  <c r="D37" i="39" a="1"/>
  <c r="D37" i="39" s="1"/>
  <c r="D38" i="39" a="1"/>
  <c r="D38" i="39" s="1"/>
  <c r="D39" i="39" a="1"/>
  <c r="D39" i="39"/>
  <c r="D40" i="39" a="1"/>
  <c r="D40" i="39"/>
  <c r="D41" i="39" a="1"/>
  <c r="D41" i="39"/>
  <c r="D42" i="39" a="1"/>
  <c r="D42" i="39" s="1"/>
  <c r="D43" i="39" a="1"/>
  <c r="D43" i="39"/>
  <c r="D44" i="39" a="1"/>
  <c r="D44" i="39" s="1"/>
  <c r="D45" i="39" a="1"/>
  <c r="D45" i="39"/>
  <c r="D46" i="39" a="1"/>
  <c r="D46" i="39"/>
  <c r="D47" i="39" a="1"/>
  <c r="D47" i="39"/>
  <c r="D48" i="39" a="1"/>
  <c r="D48" i="39" s="1"/>
  <c r="D49" i="39" a="1"/>
  <c r="D49" i="39" s="1"/>
  <c r="D50" i="39" a="1"/>
  <c r="D50" i="39" s="1"/>
  <c r="D51" i="39" a="1"/>
  <c r="D51" i="39"/>
  <c r="D52" i="39" a="1"/>
  <c r="D52" i="39"/>
  <c r="D53" i="39" a="1"/>
  <c r="D53" i="39"/>
  <c r="D54" i="39" a="1"/>
  <c r="D54" i="39"/>
  <c r="D55" i="39" a="1"/>
  <c r="D55" i="39" s="1"/>
  <c r="D56" i="39" a="1"/>
  <c r="D56" i="39" s="1"/>
  <c r="D57" i="39" a="1"/>
  <c r="D57" i="39" s="1"/>
  <c r="D58" i="39" a="1"/>
  <c r="D58" i="39"/>
  <c r="D59" i="39" a="1"/>
  <c r="D59" i="39"/>
  <c r="D60" i="39" a="1"/>
  <c r="D60" i="39" s="1"/>
  <c r="I31" i="39" a="1"/>
  <c r="I31" i="39" s="1"/>
  <c r="I32" i="39" a="1"/>
  <c r="I32" i="39" s="1"/>
  <c r="I33" i="39" a="1"/>
  <c r="I33" i="39" s="1"/>
  <c r="I34" i="39" a="1"/>
  <c r="I34" i="39"/>
  <c r="I35" i="39" a="1"/>
  <c r="I35" i="39"/>
  <c r="I36" i="39" a="1"/>
  <c r="I36" i="39"/>
  <c r="I37" i="39" a="1"/>
  <c r="I37" i="39" s="1"/>
  <c r="I38" i="39" a="1"/>
  <c r="I38" i="39" s="1"/>
  <c r="I39" i="39" a="1"/>
  <c r="I39" i="39" s="1"/>
  <c r="I40" i="39" a="1"/>
  <c r="I40" i="39"/>
  <c r="I41" i="39" a="1"/>
  <c r="I41" i="39"/>
  <c r="I42" i="39" a="1"/>
  <c r="I42" i="39"/>
  <c r="I43" i="39" a="1"/>
  <c r="I43" i="39" s="1"/>
  <c r="I44" i="39" a="1"/>
  <c r="I44" i="39" s="1"/>
  <c r="I45" i="39" a="1"/>
  <c r="I45" i="39" s="1"/>
  <c r="I46" i="39" a="1"/>
  <c r="I46" i="39" s="1"/>
  <c r="I47" i="39" a="1"/>
  <c r="I47" i="39"/>
  <c r="I48" i="39" a="1"/>
  <c r="I48" i="39" s="1"/>
  <c r="I49" i="39" a="1"/>
  <c r="I49" i="39" s="1"/>
  <c r="I50" i="39" a="1"/>
  <c r="I50" i="39" s="1"/>
  <c r="I51" i="39" a="1"/>
  <c r="I51" i="39" s="1"/>
  <c r="I52" i="39" a="1"/>
  <c r="I52" i="39"/>
  <c r="I53" i="39" a="1"/>
  <c r="I53" i="39"/>
  <c r="I54" i="39" a="1"/>
  <c r="I54" i="39"/>
  <c r="I55" i="39" a="1"/>
  <c r="I55" i="39" s="1"/>
  <c r="I56" i="39" a="1"/>
  <c r="I56" i="39" s="1"/>
  <c r="I57" i="39" a="1"/>
  <c r="I57" i="39" s="1"/>
  <c r="I58" i="39" a="1"/>
  <c r="I58" i="39"/>
  <c r="I59" i="39" a="1"/>
  <c r="I59" i="39" s="1"/>
  <c r="I60" i="39" a="1"/>
  <c r="I60" i="39" s="1"/>
  <c r="D32" i="37" a="1"/>
  <c r="D32" i="37" s="1"/>
  <c r="D33" i="37" a="1"/>
  <c r="D33" i="37" s="1"/>
  <c r="D34" i="37" a="1"/>
  <c r="D34" i="37" s="1"/>
  <c r="D35" i="37" a="1"/>
  <c r="D35" i="37"/>
  <c r="D36" i="37" a="1"/>
  <c r="D36" i="37"/>
  <c r="D37" i="37" a="1"/>
  <c r="D37" i="37"/>
  <c r="D38" i="37" a="1"/>
  <c r="D38" i="37" s="1"/>
  <c r="D39" i="37" a="1"/>
  <c r="D39" i="37" s="1"/>
  <c r="D40" i="37" a="1"/>
  <c r="D40" i="37" s="1"/>
  <c r="D41" i="37" a="1"/>
  <c r="D41" i="37" s="1"/>
  <c r="D42" i="37" a="1"/>
  <c r="D42" i="37"/>
  <c r="D43" i="37" a="1"/>
  <c r="D43" i="37" s="1"/>
  <c r="D44" i="37" a="1"/>
  <c r="D44" i="37" s="1"/>
  <c r="D45" i="37" a="1"/>
  <c r="D45" i="37" s="1"/>
  <c r="D46" i="37" a="1"/>
  <c r="D46" i="37" s="1"/>
  <c r="D47" i="37" a="1"/>
  <c r="D47" i="37"/>
  <c r="D48" i="37" a="1"/>
  <c r="D48" i="37"/>
  <c r="D49" i="37" a="1"/>
  <c r="D49" i="37" s="1"/>
  <c r="D50" i="37" a="1"/>
  <c r="D50" i="37" s="1"/>
  <c r="D51" i="37" a="1"/>
  <c r="D51" i="37" s="1"/>
  <c r="D52" i="37" a="1"/>
  <c r="D52" i="37" s="1"/>
  <c r="D53" i="37" a="1"/>
  <c r="D53" i="37" s="1"/>
  <c r="D54" i="37" a="1"/>
  <c r="D54" i="37"/>
  <c r="I31" i="37" a="1"/>
  <c r="I31" i="37" s="1"/>
  <c r="I32" i="37" a="1"/>
  <c r="I32" i="37" s="1"/>
  <c r="I33" i="37" a="1"/>
  <c r="I33" i="37" s="1"/>
  <c r="I34" i="37" a="1"/>
  <c r="I34" i="37"/>
  <c r="I35" i="37" a="1"/>
  <c r="I35" i="37"/>
  <c r="I36" i="37" a="1"/>
  <c r="I36" i="37"/>
  <c r="I37" i="37" a="1"/>
  <c r="I37" i="37" s="1"/>
  <c r="I38" i="37" a="1"/>
  <c r="I38" i="37" s="1"/>
  <c r="I39" i="37" a="1"/>
  <c r="I39" i="37" s="1"/>
  <c r="I40" i="37" a="1"/>
  <c r="I40" i="37"/>
  <c r="I41" i="37" a="1"/>
  <c r="I41" i="37" s="1"/>
  <c r="I42" i="37" a="1"/>
  <c r="I42" i="37"/>
  <c r="I43" i="37" a="1"/>
  <c r="I43" i="37" s="1"/>
  <c r="I44" i="37" a="1"/>
  <c r="I44" i="37" s="1"/>
  <c r="I45" i="37" a="1"/>
  <c r="I45" i="37" s="1"/>
  <c r="I46" i="37" a="1"/>
  <c r="I46" i="37"/>
  <c r="I47" i="37" a="1"/>
  <c r="I47" i="37" s="1"/>
  <c r="I48" i="37" a="1"/>
  <c r="I48" i="37" s="1"/>
  <c r="I49" i="37" a="1"/>
  <c r="I49" i="37" s="1"/>
  <c r="I50" i="37" a="1"/>
  <c r="I50" i="37" s="1"/>
  <c r="I51" i="37" a="1"/>
  <c r="I51" i="37" s="1"/>
  <c r="I52" i="37" a="1"/>
  <c r="I52" i="37" s="1"/>
  <c r="I53" i="37" a="1"/>
  <c r="I53" i="37" s="1"/>
  <c r="I54" i="37" a="1"/>
  <c r="I54" i="37" s="1"/>
  <c r="I5" i="41" a="1"/>
  <c r="I5" i="41"/>
  <c r="I6" i="41" a="1"/>
  <c r="I6" i="41"/>
  <c r="I7" i="41" a="1"/>
  <c r="I7" i="41"/>
  <c r="I8" i="41" a="1"/>
  <c r="I8" i="41"/>
  <c r="I9" i="41" a="1"/>
  <c r="I9" i="41"/>
  <c r="I10" i="41" a="1"/>
  <c r="I10" i="41" s="1"/>
  <c r="I11" i="41" a="1"/>
  <c r="I11" i="41"/>
  <c r="I12" i="41" a="1"/>
  <c r="I12" i="41"/>
  <c r="I13" i="41" a="1"/>
  <c r="I13" i="41" s="1"/>
  <c r="I14" i="41" a="1"/>
  <c r="I14" i="41"/>
  <c r="I15" i="41" a="1"/>
  <c r="I15" i="41"/>
  <c r="I16" i="41" a="1"/>
  <c r="I16" i="41" s="1"/>
  <c r="I17" i="41" a="1"/>
  <c r="I17" i="41"/>
  <c r="I18" i="41" a="1"/>
  <c r="I18" i="41"/>
  <c r="I19" i="41" a="1"/>
  <c r="I19" i="41"/>
  <c r="I20" i="41" a="1"/>
  <c r="I20" i="41" s="1"/>
  <c r="I21" i="41" a="1"/>
  <c r="I21" i="41" s="1"/>
  <c r="I22" i="41" a="1"/>
  <c r="I22" i="41" s="1"/>
  <c r="I23" i="41" a="1"/>
  <c r="I23" i="41"/>
  <c r="I24" i="41" a="1"/>
  <c r="I24" i="41"/>
  <c r="I25" i="41" a="1"/>
  <c r="I25" i="41" s="1"/>
  <c r="I26" i="41" a="1"/>
  <c r="I26" i="41" s="1"/>
  <c r="I27" i="41" a="1"/>
  <c r="I27" i="41" s="1"/>
  <c r="I28" i="41" a="1"/>
  <c r="I28" i="41" s="1"/>
  <c r="I29" i="41" a="1"/>
  <c r="I29" i="41" s="1"/>
  <c r="I30" i="41" a="1"/>
  <c r="I30" i="41"/>
  <c r="F3" i="41" a="1"/>
  <c r="F3" i="41" s="1"/>
  <c r="A3" i="41" a="1"/>
  <c r="A3" i="41" s="1"/>
  <c r="D31" i="41" a="1"/>
  <c r="D31" i="41" s="1"/>
  <c r="D30" i="41" a="1"/>
  <c r="D30" i="41" s="1"/>
  <c r="D29" i="41" a="1"/>
  <c r="D29" i="41" s="1"/>
  <c r="D28" i="41" a="1"/>
  <c r="D28" i="41" s="1"/>
  <c r="D27" i="41" a="1"/>
  <c r="D27" i="41" s="1"/>
  <c r="D26" i="41" a="1"/>
  <c r="D26" i="41" s="1"/>
  <c r="D25" i="41" a="1"/>
  <c r="D25" i="41" s="1"/>
  <c r="D24" i="41" a="1"/>
  <c r="D24" i="41" s="1"/>
  <c r="D23" i="41" a="1"/>
  <c r="D23" i="41" s="1"/>
  <c r="D22" i="41" a="1"/>
  <c r="D22" i="41" s="1"/>
  <c r="D21" i="41" a="1"/>
  <c r="D21" i="41" s="1"/>
  <c r="D20" i="41" a="1"/>
  <c r="D20" i="41" s="1"/>
  <c r="D19" i="41" a="1"/>
  <c r="D19" i="41" s="1"/>
  <c r="D18" i="41" a="1"/>
  <c r="D18" i="41" s="1"/>
  <c r="D17" i="41" a="1"/>
  <c r="D17" i="41" s="1"/>
  <c r="D16" i="41" a="1"/>
  <c r="D16" i="41" s="1"/>
  <c r="D15" i="41" a="1"/>
  <c r="D15" i="41" s="1"/>
  <c r="D14" i="41" a="1"/>
  <c r="D14" i="41" s="1"/>
  <c r="D13" i="41" a="1"/>
  <c r="D13" i="41" s="1"/>
  <c r="D12" i="41" a="1"/>
  <c r="D12" i="41" s="1"/>
  <c r="D11" i="41" a="1"/>
  <c r="D11" i="41" s="1"/>
  <c r="D10" i="41" a="1"/>
  <c r="D10" i="41" s="1"/>
  <c r="D9" i="41" a="1"/>
  <c r="D9" i="41" s="1"/>
  <c r="D8" i="41" a="1"/>
  <c r="D8" i="41" s="1"/>
  <c r="D7" i="41" a="1"/>
  <c r="D7" i="41" s="1"/>
  <c r="D6" i="41" a="1"/>
  <c r="D6" i="41" s="1"/>
  <c r="D5" i="41" a="1"/>
  <c r="D5" i="41" s="1"/>
  <c r="D4" i="41" a="1"/>
  <c r="D4" i="41" s="1"/>
  <c r="D10" i="40" a="1"/>
  <c r="D10" i="40" s="1"/>
  <c r="D11" i="40" a="1"/>
  <c r="D11" i="40" s="1"/>
  <c r="D12" i="40" a="1"/>
  <c r="D12" i="40" s="1"/>
  <c r="D13" i="40" a="1"/>
  <c r="D13" i="40" s="1"/>
  <c r="D14" i="40" a="1"/>
  <c r="D14" i="40" s="1"/>
  <c r="D15" i="40" a="1"/>
  <c r="D15" i="40" s="1"/>
  <c r="D16" i="40" a="1"/>
  <c r="D16" i="40" s="1"/>
  <c r="D17" i="40" a="1"/>
  <c r="D17" i="40" s="1"/>
  <c r="D18" i="40" a="1"/>
  <c r="D18" i="40" s="1"/>
  <c r="D19" i="40" a="1"/>
  <c r="D19" i="40"/>
  <c r="D20" i="40" a="1"/>
  <c r="D20" i="40" s="1"/>
  <c r="D21" i="40" a="1"/>
  <c r="D21" i="40" s="1"/>
  <c r="D22" i="40" a="1"/>
  <c r="D22" i="40" s="1"/>
  <c r="D23" i="40" a="1"/>
  <c r="D23" i="40" s="1"/>
  <c r="D24" i="40" a="1"/>
  <c r="D24" i="40" s="1"/>
  <c r="D25" i="40" a="1"/>
  <c r="D25" i="40"/>
  <c r="D26" i="40" a="1"/>
  <c r="D26" i="40" s="1"/>
  <c r="D27" i="40" a="1"/>
  <c r="D27" i="40" s="1"/>
  <c r="D28" i="40" a="1"/>
  <c r="D28" i="40" s="1"/>
  <c r="D29" i="40" a="1"/>
  <c r="D29" i="40" s="1"/>
  <c r="D30" i="40" a="1"/>
  <c r="D30" i="40" s="1"/>
  <c r="D31" i="40" a="1"/>
  <c r="D31" i="40" s="1"/>
  <c r="D19" i="38" a="1"/>
  <c r="D19" i="38" s="1"/>
  <c r="D20" i="38" a="1"/>
  <c r="D20" i="38" s="1"/>
  <c r="D21" i="38" a="1"/>
  <c r="D21" i="38" s="1"/>
  <c r="D22" i="38" a="1"/>
  <c r="D22" i="38"/>
  <c r="D23" i="38" a="1"/>
  <c r="D23" i="38" s="1"/>
  <c r="D24" i="38" a="1"/>
  <c r="D24" i="38" s="1"/>
  <c r="D25" i="38" a="1"/>
  <c r="D25" i="38" s="1"/>
  <c r="D26" i="38" a="1"/>
  <c r="D26" i="38" s="1"/>
  <c r="D27" i="38" a="1"/>
  <c r="D27" i="38" s="1"/>
  <c r="D28" i="38" a="1"/>
  <c r="D28" i="38" s="1"/>
  <c r="D29" i="38" a="1"/>
  <c r="D29" i="38" s="1"/>
  <c r="D30" i="38" a="1"/>
  <c r="D30" i="38" s="1"/>
  <c r="D31" i="38" a="1"/>
  <c r="D31" i="38" s="1"/>
  <c r="D24" i="37" a="1"/>
  <c r="D24" i="37" s="1"/>
  <c r="D25" i="37" a="1"/>
  <c r="D25" i="37"/>
  <c r="D26" i="37" a="1"/>
  <c r="D26" i="37" s="1"/>
  <c r="D27" i="37" a="1"/>
  <c r="D27" i="37" s="1"/>
  <c r="D28" i="37" a="1"/>
  <c r="D28" i="37" s="1"/>
  <c r="D29" i="37" a="1"/>
  <c r="D29" i="37" s="1"/>
  <c r="D30" i="37" a="1"/>
  <c r="D30" i="37" s="1"/>
  <c r="D31" i="37" a="1"/>
  <c r="D31" i="37" s="1"/>
  <c r="D19" i="39" a="1"/>
  <c r="D19" i="39" s="1"/>
  <c r="D20" i="39" a="1"/>
  <c r="D20" i="39" s="1"/>
  <c r="D21" i="39" a="1"/>
  <c r="D21" i="39" s="1"/>
  <c r="D22" i="39" a="1"/>
  <c r="D22" i="39" s="1"/>
  <c r="D23" i="39" a="1"/>
  <c r="D23" i="39" s="1"/>
  <c r="D24" i="39" a="1"/>
  <c r="D24" i="39" s="1"/>
  <c r="D25" i="39" a="1"/>
  <c r="D25" i="39" s="1"/>
  <c r="D26" i="39" a="1"/>
  <c r="D26" i="39" s="1"/>
  <c r="D27" i="39" a="1"/>
  <c r="D27" i="39" s="1"/>
  <c r="D28" i="39" a="1"/>
  <c r="D28" i="39" s="1"/>
  <c r="D29" i="39" a="1"/>
  <c r="D29" i="39" s="1"/>
  <c r="D30" i="39" a="1"/>
  <c r="D30" i="39" s="1"/>
  <c r="D31" i="39" a="1"/>
  <c r="D31" i="39" s="1"/>
  <c r="A3" i="40" a="1"/>
  <c r="A3" i="40" s="1"/>
  <c r="A3" i="38" a="1"/>
  <c r="A3" i="38" s="1"/>
  <c r="A3" i="39" a="1"/>
  <c r="A3" i="39" s="1"/>
  <c r="A3" i="37" a="1"/>
  <c r="A3" i="37" s="1"/>
  <c r="F3" i="40" a="1"/>
  <c r="F3" i="40" s="1"/>
  <c r="I30" i="40" a="1"/>
  <c r="I30" i="40" s="1"/>
  <c r="I29" i="40" a="1"/>
  <c r="I29" i="40" s="1"/>
  <c r="I28" i="40" a="1"/>
  <c r="I28" i="40" s="1"/>
  <c r="I27" i="40" a="1"/>
  <c r="I27" i="40" s="1"/>
  <c r="I26" i="40" a="1"/>
  <c r="I26" i="40" s="1"/>
  <c r="I25" i="40" a="1"/>
  <c r="I25" i="40" s="1"/>
  <c r="I24" i="40" a="1"/>
  <c r="I24" i="40" s="1"/>
  <c r="I23" i="40" a="1"/>
  <c r="I23" i="40" s="1"/>
  <c r="I22" i="40" a="1"/>
  <c r="I22" i="40" s="1"/>
  <c r="I21" i="40" a="1"/>
  <c r="I21" i="40" s="1"/>
  <c r="I20" i="40" a="1"/>
  <c r="I20" i="40" s="1"/>
  <c r="I19" i="40" a="1"/>
  <c r="I19" i="40" s="1"/>
  <c r="I18" i="40" a="1"/>
  <c r="I18" i="40" s="1"/>
  <c r="I17" i="40" a="1"/>
  <c r="I17" i="40" s="1"/>
  <c r="I16" i="40" a="1"/>
  <c r="I16" i="40" s="1"/>
  <c r="I15" i="40" a="1"/>
  <c r="I15" i="40" s="1"/>
  <c r="I14" i="40" a="1"/>
  <c r="I14" i="40" s="1"/>
  <c r="I13" i="40" a="1"/>
  <c r="I13" i="40" s="1"/>
  <c r="I7" i="40" a="1"/>
  <c r="I7" i="40" s="1"/>
  <c r="I26" i="38" a="1"/>
  <c r="I26" i="38" s="1"/>
  <c r="I27" i="38" a="1"/>
  <c r="I27" i="38" s="1"/>
  <c r="I28" i="38" a="1"/>
  <c r="I28" i="38" s="1"/>
  <c r="I29" i="38" a="1"/>
  <c r="I29" i="38" s="1"/>
  <c r="I30" i="38" a="1"/>
  <c r="I30" i="38" s="1"/>
  <c r="F3" i="38" a="1"/>
  <c r="F3" i="38" s="1"/>
  <c r="F3" i="37" a="1"/>
  <c r="F3" i="37" s="1"/>
  <c r="I30" i="37" a="1"/>
  <c r="I30" i="37" s="1"/>
  <c r="I29" i="37" a="1"/>
  <c r="I29" i="37" s="1"/>
  <c r="I28" i="37" a="1"/>
  <c r="I28" i="37" s="1"/>
  <c r="I27" i="37" a="1"/>
  <c r="I27" i="37" s="1"/>
  <c r="I26" i="37" a="1"/>
  <c r="I26" i="37" s="1"/>
  <c r="I25" i="37" a="1"/>
  <c r="I25" i="37" s="1"/>
  <c r="F3" i="39" a="1"/>
  <c r="F3" i="39" s="1"/>
  <c r="I17" i="39" a="1"/>
  <c r="I17" i="39" s="1"/>
  <c r="I18" i="39" a="1"/>
  <c r="I18" i="39"/>
  <c r="I19" i="39" a="1"/>
  <c r="I19" i="39"/>
  <c r="I20" i="39" a="1"/>
  <c r="I20" i="39" s="1"/>
  <c r="I21" i="39" a="1"/>
  <c r="I21" i="39"/>
  <c r="I22" i="39" a="1"/>
  <c r="I22" i="39" s="1"/>
  <c r="I23" i="39" a="1"/>
  <c r="I23" i="39" s="1"/>
  <c r="I24" i="39" a="1"/>
  <c r="I24" i="39" s="1"/>
  <c r="I25" i="39" a="1"/>
  <c r="I25" i="39" s="1"/>
  <c r="I26" i="39" a="1"/>
  <c r="I26" i="39" s="1"/>
  <c r="I27" i="39" a="1"/>
  <c r="I27" i="39"/>
  <c r="I28" i="39" a="1"/>
  <c r="I28" i="39"/>
  <c r="I29" i="39" a="1"/>
  <c r="I29" i="39" s="1"/>
  <c r="I30" i="39" a="1"/>
  <c r="I30" i="39"/>
  <c r="I16" i="39" l="1" a="1"/>
  <c r="I16" i="39" s="1"/>
  <c r="I25" i="38" a="1"/>
  <c r="I25" i="38" s="1"/>
  <c r="D3" i="41" a="1"/>
  <c r="D3" i="41" s="1"/>
  <c r="D33" i="41" s="1"/>
  <c r="C34" i="27" s="1"/>
  <c r="I4" i="41" a="1"/>
  <c r="I4" i="41" s="1"/>
  <c r="I3" i="41" a="1"/>
  <c r="I3" i="41" s="1"/>
  <c r="I15" i="39" a="1"/>
  <c r="I15" i="39" s="1"/>
  <c r="I24" i="37" a="1"/>
  <c r="I24" i="37" s="1"/>
  <c r="I24" i="38" a="1"/>
  <c r="I24" i="38" s="1"/>
  <c r="I23" i="37" a="1"/>
  <c r="I23" i="37" s="1"/>
  <c r="I23" i="38" a="1"/>
  <c r="I23" i="38" s="1"/>
  <c r="I22" i="37" a="1"/>
  <c r="I22" i="37" s="1"/>
  <c r="I22" i="38" a="1"/>
  <c r="I22" i="38" s="1"/>
  <c r="I14" i="39" a="1"/>
  <c r="I14" i="39" s="1"/>
  <c r="I21" i="37" a="1"/>
  <c r="I21" i="37" s="1"/>
  <c r="I21" i="38" a="1"/>
  <c r="I21" i="38" s="1"/>
  <c r="I20" i="37" a="1"/>
  <c r="I20" i="37" s="1"/>
  <c r="I20" i="38" a="1"/>
  <c r="I20" i="38" s="1"/>
  <c r="I19" i="38" a="1"/>
  <c r="I19" i="38" s="1"/>
  <c r="I19" i="37" a="1"/>
  <c r="I19" i="37" s="1"/>
  <c r="I18" i="37" a="1"/>
  <c r="I18" i="37" s="1"/>
  <c r="I18" i="38" a="1"/>
  <c r="I18" i="38" s="1"/>
  <c r="I17" i="37" a="1"/>
  <c r="I17" i="37" s="1"/>
  <c r="I16" i="37" a="1"/>
  <c r="I16" i="37" s="1"/>
  <c r="I17" i="38" a="1"/>
  <c r="I17" i="38" s="1"/>
  <c r="I15" i="37" a="1"/>
  <c r="I15" i="37" s="1"/>
  <c r="I13" i="39" a="1"/>
  <c r="I13" i="39" s="1"/>
  <c r="I16" i="38" a="1"/>
  <c r="I16" i="38" s="1"/>
  <c r="I10" i="38" a="1"/>
  <c r="I10" i="38" s="1"/>
  <c r="I9" i="38" a="1"/>
  <c r="I9" i="38" s="1"/>
  <c r="I3" i="39" a="1"/>
  <c r="I3" i="39" s="1"/>
  <c r="I12" i="39" a="1"/>
  <c r="I12" i="39" s="1"/>
  <c r="I9" i="37" a="1"/>
  <c r="I9" i="37" s="1"/>
  <c r="I5" i="38" a="1"/>
  <c r="I5" i="38" s="1"/>
  <c r="I9" i="39" a="1"/>
  <c r="I9" i="39" s="1"/>
  <c r="I11" i="38" a="1"/>
  <c r="I11" i="38" s="1"/>
  <c r="I6" i="39" a="1"/>
  <c r="I6" i="39" s="1"/>
  <c r="I5" i="39" a="1"/>
  <c r="I5" i="39" s="1"/>
  <c r="I8" i="38" a="1"/>
  <c r="I8" i="38" s="1"/>
  <c r="I7" i="38" a="1"/>
  <c r="I7" i="38" s="1"/>
  <c r="I13" i="37" a="1"/>
  <c r="I13" i="37" s="1"/>
  <c r="I10" i="39" a="1"/>
  <c r="I10" i="39" s="1"/>
  <c r="I15" i="38" a="1"/>
  <c r="I15" i="38" s="1"/>
  <c r="I14" i="38" a="1"/>
  <c r="I14" i="38" s="1"/>
  <c r="I8" i="39" a="1"/>
  <c r="I8" i="39" s="1"/>
  <c r="I13" i="38" a="1"/>
  <c r="I13" i="38" s="1"/>
  <c r="I11" i="39" a="1"/>
  <c r="I11" i="39" s="1"/>
  <c r="I6" i="38" a="1"/>
  <c r="I6" i="38" s="1"/>
  <c r="I14" i="37" a="1"/>
  <c r="I14" i="37" s="1"/>
  <c r="I4" i="38" a="1"/>
  <c r="I4" i="38" s="1"/>
  <c r="I7" i="39" a="1"/>
  <c r="I7" i="39" s="1"/>
  <c r="I12" i="38" a="1"/>
  <c r="I12" i="38" s="1"/>
  <c r="I6" i="40" a="1"/>
  <c r="I6" i="40" s="1"/>
  <c r="I12" i="40" a="1"/>
  <c r="I12" i="40" s="1"/>
  <c r="I8" i="40" a="1"/>
  <c r="I8" i="40" s="1"/>
  <c r="I9" i="40" a="1"/>
  <c r="I9" i="40" s="1"/>
  <c r="I3" i="40" a="1"/>
  <c r="I3" i="40" s="1"/>
  <c r="I10" i="40" a="1"/>
  <c r="I10" i="40" s="1"/>
  <c r="I5" i="40" a="1"/>
  <c r="I5" i="40" s="1"/>
  <c r="I11" i="40" a="1"/>
  <c r="I11" i="40" s="1"/>
  <c r="I3" i="38" a="1"/>
  <c r="I3" i="38" s="1"/>
  <c r="I7" i="37" a="1"/>
  <c r="I7" i="37" s="1"/>
  <c r="I8" i="37" a="1"/>
  <c r="I8" i="37" s="1"/>
  <c r="I3" i="37" a="1"/>
  <c r="I3" i="37" s="1"/>
  <c r="I10" i="37" a="1"/>
  <c r="I10" i="37" s="1"/>
  <c r="I5" i="37" a="1"/>
  <c r="I5" i="37" s="1"/>
  <c r="I11" i="37" a="1"/>
  <c r="I11" i="37" s="1"/>
  <c r="I6" i="37" a="1"/>
  <c r="I6" i="37" s="1"/>
  <c r="I12" i="37" a="1"/>
  <c r="I12" i="37" s="1"/>
  <c r="D10" i="38" a="1"/>
  <c r="D10" i="38" s="1"/>
  <c r="D11" i="38" a="1"/>
  <c r="D11" i="38"/>
  <c r="D12" i="38" a="1"/>
  <c r="D12" i="38"/>
  <c r="D13" i="38" a="1"/>
  <c r="D13" i="38" s="1"/>
  <c r="D14" i="38" a="1"/>
  <c r="D14" i="38" s="1"/>
  <c r="D15" i="38" a="1"/>
  <c r="D15" i="38" s="1"/>
  <c r="D16" i="38" a="1"/>
  <c r="D16" i="38" s="1"/>
  <c r="D17" i="38" a="1"/>
  <c r="D17" i="38" s="1"/>
  <c r="D18" i="38" a="1"/>
  <c r="D18" i="38" s="1"/>
  <c r="D12" i="37" a="1"/>
  <c r="D12" i="37" s="1"/>
  <c r="D13" i="37" a="1"/>
  <c r="D13" i="37" s="1"/>
  <c r="D14" i="37" a="1"/>
  <c r="D14" i="37"/>
  <c r="D15" i="37" a="1"/>
  <c r="D15" i="37" s="1"/>
  <c r="D16" i="37" a="1"/>
  <c r="D16" i="37" s="1"/>
  <c r="D17" i="37" a="1"/>
  <c r="D17" i="37"/>
  <c r="D18" i="37" a="1"/>
  <c r="D18" i="37" s="1"/>
  <c r="D19" i="37" a="1"/>
  <c r="D19" i="37" s="1"/>
  <c r="D20" i="37" a="1"/>
  <c r="D20" i="37" s="1"/>
  <c r="D21" i="37" a="1"/>
  <c r="D21" i="37" s="1"/>
  <c r="D22" i="37" a="1"/>
  <c r="D22" i="37" s="1"/>
  <c r="D23" i="37" a="1"/>
  <c r="D23" i="37" s="1"/>
  <c r="D11" i="37" a="1"/>
  <c r="D11" i="37" s="1"/>
  <c r="D11" i="39" a="1"/>
  <c r="D11" i="39" s="1"/>
  <c r="D12" i="39" a="1"/>
  <c r="D12" i="39" s="1"/>
  <c r="D13" i="39" a="1"/>
  <c r="D13" i="39" s="1"/>
  <c r="D14" i="39" a="1"/>
  <c r="D14" i="39" s="1"/>
  <c r="D15" i="39" a="1"/>
  <c r="D15" i="39" s="1"/>
  <c r="D16" i="39" a="1"/>
  <c r="D16" i="39" s="1"/>
  <c r="D17" i="39" a="1"/>
  <c r="D17" i="39" s="1"/>
  <c r="D18" i="39" a="1"/>
  <c r="D18" i="39" s="1"/>
  <c r="D10" i="39" a="1"/>
  <c r="D10" i="39" s="1"/>
  <c r="D4" i="40" a="1"/>
  <c r="D4" i="40" s="1"/>
  <c r="D10" i="37" a="1"/>
  <c r="D10" i="37" s="1"/>
  <c r="D5" i="26"/>
  <c r="E5" i="26" s="1"/>
  <c r="F5" i="26" s="1"/>
  <c r="G5" i="26" s="1"/>
  <c r="A10" i="26" s="1"/>
  <c r="B10" i="26" s="1"/>
  <c r="C10" i="26" s="1"/>
  <c r="D10" i="26" s="1"/>
  <c r="E10" i="26" s="1"/>
  <c r="F10" i="26" s="1"/>
  <c r="G10" i="26" s="1"/>
  <c r="A15" i="26" s="1"/>
  <c r="B15" i="26" s="1"/>
  <c r="C15" i="26" s="1"/>
  <c r="D15" i="26" s="1"/>
  <c r="E15" i="26" s="1"/>
  <c r="F15" i="26" s="1"/>
  <c r="G15" i="26" s="1"/>
  <c r="A20" i="26" s="1"/>
  <c r="B20" i="26" s="1"/>
  <c r="C20" i="26" s="1"/>
  <c r="D20" i="26" s="1"/>
  <c r="E20" i="26" s="1"/>
  <c r="F20" i="26" s="1"/>
  <c r="G20" i="26" s="1"/>
  <c r="A25" i="26" s="1"/>
  <c r="B25" i="26" s="1"/>
  <c r="C25" i="26" s="1"/>
  <c r="D25" i="26" s="1"/>
  <c r="E25" i="26" s="1"/>
  <c r="F25" i="26" s="1"/>
  <c r="G5" i="25"/>
  <c r="A10" i="25" s="1"/>
  <c r="B10" i="25" s="1"/>
  <c r="C10" i="25" s="1"/>
  <c r="D10" i="25" s="1"/>
  <c r="E10" i="25" s="1"/>
  <c r="F10" i="25" s="1"/>
  <c r="G10" i="25" s="1"/>
  <c r="A15" i="25" s="1"/>
  <c r="B15" i="25" s="1"/>
  <c r="C15" i="25" s="1"/>
  <c r="D15" i="25" s="1"/>
  <c r="E15" i="25" s="1"/>
  <c r="F15" i="25" s="1"/>
  <c r="G15" i="25" s="1"/>
  <c r="A20" i="25" s="1"/>
  <c r="B20" i="25" s="1"/>
  <c r="C20" i="25" s="1"/>
  <c r="D20" i="25" s="1"/>
  <c r="E20" i="25" s="1"/>
  <c r="F20" i="25" s="1"/>
  <c r="G20" i="25" s="1"/>
  <c r="A25" i="25" s="1"/>
  <c r="B25" i="25" s="1"/>
  <c r="C25" i="25" s="1"/>
  <c r="D25" i="25" s="1"/>
  <c r="E25" i="25" s="1"/>
  <c r="F25" i="25" s="1"/>
  <c r="B5" i="20"/>
  <c r="C5" i="20" s="1"/>
  <c r="D5" i="20" s="1"/>
  <c r="E5" i="20" s="1"/>
  <c r="F5" i="20" s="1"/>
  <c r="G5" i="20" s="1"/>
  <c r="A10" i="20" s="1"/>
  <c r="B10" i="20" s="1"/>
  <c r="C10" i="20" s="1"/>
  <c r="D10" i="20" s="1"/>
  <c r="E10" i="20" s="1"/>
  <c r="F10" i="20" s="1"/>
  <c r="G10" i="20" s="1"/>
  <c r="A15" i="20" s="1"/>
  <c r="B15" i="20" s="1"/>
  <c r="C15" i="20" s="1"/>
  <c r="D15" i="20" s="1"/>
  <c r="E15" i="20" s="1"/>
  <c r="F15" i="20" s="1"/>
  <c r="G15" i="20" s="1"/>
  <c r="A20" i="20" s="1"/>
  <c r="B20" i="20" s="1"/>
  <c r="C20" i="20" s="1"/>
  <c r="D20" i="20" s="1"/>
  <c r="E20" i="20" s="1"/>
  <c r="F20" i="20" s="1"/>
  <c r="G20" i="20" s="1"/>
  <c r="A25" i="20" s="1"/>
  <c r="B25" i="20" s="1"/>
  <c r="C25" i="20" s="1"/>
  <c r="D25" i="20" s="1"/>
  <c r="D5" i="18"/>
  <c r="E5" i="18" s="1"/>
  <c r="F5" i="18" s="1"/>
  <c r="G5" i="18" s="1"/>
  <c r="A10" i="18" s="1"/>
  <c r="B10" i="18" s="1"/>
  <c r="C10" i="18" s="1"/>
  <c r="D10" i="18" s="1"/>
  <c r="E10" i="18" s="1"/>
  <c r="F10" i="18" s="1"/>
  <c r="G10" i="18" s="1"/>
  <c r="A15" i="18" s="1"/>
  <c r="B15" i="18" s="1"/>
  <c r="C15" i="18" s="1"/>
  <c r="D15" i="18" s="1"/>
  <c r="E15" i="18" s="1"/>
  <c r="F15" i="18" s="1"/>
  <c r="G15" i="18" s="1"/>
  <c r="A20" i="18" s="1"/>
  <c r="B20" i="18" s="1"/>
  <c r="C20" i="18" s="1"/>
  <c r="D20" i="18" s="1"/>
  <c r="E20" i="18" s="1"/>
  <c r="F20" i="18" s="1"/>
  <c r="G20" i="18" s="1"/>
  <c r="A25" i="18" s="1"/>
  <c r="B25" i="18" s="1"/>
  <c r="C25" i="18" s="1"/>
  <c r="D25" i="18" s="1"/>
  <c r="E25" i="18" s="1"/>
  <c r="F25" i="18" s="1"/>
  <c r="B5" i="17"/>
  <c r="C5" i="17"/>
  <c r="D5" i="17"/>
  <c r="E5" i="17" s="1"/>
  <c r="F5" i="17" s="1"/>
  <c r="G5" i="17" s="1"/>
  <c r="A10" i="17" s="1"/>
  <c r="B10" i="17" s="1"/>
  <c r="C10" i="17" s="1"/>
  <c r="D10" i="17" s="1"/>
  <c r="E10" i="17" s="1"/>
  <c r="F10" i="17" s="1"/>
  <c r="G10" i="17" s="1"/>
  <c r="A15" i="17" s="1"/>
  <c r="B15" i="17" s="1"/>
  <c r="C15" i="17" s="1"/>
  <c r="D15" i="17" s="1"/>
  <c r="E15" i="17" s="1"/>
  <c r="F15" i="17" s="1"/>
  <c r="G15" i="17" s="1"/>
  <c r="A20" i="17" s="1"/>
  <c r="B20" i="17" s="1"/>
  <c r="C20" i="17" s="1"/>
  <c r="D20" i="17" s="1"/>
  <c r="E20" i="17" s="1"/>
  <c r="F20" i="17" s="1"/>
  <c r="G20" i="17" s="1"/>
  <c r="A25" i="17" s="1"/>
  <c r="B25" i="17" s="1"/>
  <c r="C25" i="17" s="1"/>
  <c r="F5" i="16"/>
  <c r="G5" i="16" s="1"/>
  <c r="A10" i="16" s="1"/>
  <c r="B10" i="16" s="1"/>
  <c r="C10" i="16" s="1"/>
  <c r="D10" i="16" s="1"/>
  <c r="E10" i="16" s="1"/>
  <c r="F10" i="16" s="1"/>
  <c r="G10" i="16" s="1"/>
  <c r="A15" i="16" s="1"/>
  <c r="B15" i="16" s="1"/>
  <c r="C15" i="16" s="1"/>
  <c r="D15" i="16" s="1"/>
  <c r="E15" i="16" s="1"/>
  <c r="F15" i="16" s="1"/>
  <c r="G15" i="16" s="1"/>
  <c r="A20" i="16" s="1"/>
  <c r="B20" i="16" s="1"/>
  <c r="C20" i="16" s="1"/>
  <c r="D20" i="16" s="1"/>
  <c r="E20" i="16" s="1"/>
  <c r="F20" i="16" s="1"/>
  <c r="G20" i="16" s="1"/>
  <c r="A25" i="16" s="1"/>
  <c r="B25" i="16" s="1"/>
  <c r="C25" i="16" s="1"/>
  <c r="D25" i="16" s="1"/>
  <c r="E25" i="16" s="1"/>
  <c r="F25" i="16" s="1"/>
  <c r="G25" i="16" s="1"/>
  <c r="A30" i="16" s="1"/>
  <c r="C5" i="15"/>
  <c r="D5" i="15"/>
  <c r="E5" i="15" s="1"/>
  <c r="F5" i="15" s="1"/>
  <c r="G5" i="15" s="1"/>
  <c r="A10" i="15" s="1"/>
  <c r="B10" i="15" s="1"/>
  <c r="C10" i="15" s="1"/>
  <c r="D10" i="15" s="1"/>
  <c r="E10" i="15" s="1"/>
  <c r="F10" i="15" s="1"/>
  <c r="G10" i="15" s="1"/>
  <c r="A15" i="15" s="1"/>
  <c r="B15" i="15" s="1"/>
  <c r="C15" i="15" s="1"/>
  <c r="D15" i="15" s="1"/>
  <c r="E15" i="15" s="1"/>
  <c r="F15" i="15" s="1"/>
  <c r="G15" i="15" s="1"/>
  <c r="A20" i="15" s="1"/>
  <c r="B20" i="15" s="1"/>
  <c r="C20" i="15" s="1"/>
  <c r="D20" i="15" s="1"/>
  <c r="E20" i="15" s="1"/>
  <c r="F20" i="15" s="1"/>
  <c r="G20" i="15" s="1"/>
  <c r="A25" i="15" s="1"/>
  <c r="B25" i="15" s="1"/>
  <c r="C25" i="15" s="1"/>
  <c r="D25" i="15" s="1"/>
  <c r="B5" i="14"/>
  <c r="C5" i="14" s="1"/>
  <c r="D5" i="14" s="1"/>
  <c r="E5" i="14" s="1"/>
  <c r="F5" i="14" s="1"/>
  <c r="G5" i="14" s="1"/>
  <c r="A10" i="14" s="1"/>
  <c r="B10" i="14" s="1"/>
  <c r="C10" i="14" s="1"/>
  <c r="D10" i="14" s="1"/>
  <c r="E10" i="14" s="1"/>
  <c r="F10" i="14" s="1"/>
  <c r="G10" i="14" s="1"/>
  <c r="A15" i="14" s="1"/>
  <c r="B15" i="14" s="1"/>
  <c r="C15" i="14" s="1"/>
  <c r="D15" i="14" s="1"/>
  <c r="E15" i="14" s="1"/>
  <c r="F15" i="14" s="1"/>
  <c r="G15" i="14" s="1"/>
  <c r="A20" i="14" s="1"/>
  <c r="B20" i="14" s="1"/>
  <c r="C20" i="14" s="1"/>
  <c r="D20" i="14" s="1"/>
  <c r="E20" i="14" s="1"/>
  <c r="F20" i="14" s="1"/>
  <c r="G20" i="14" s="1"/>
  <c r="A25" i="14" s="1"/>
  <c r="B25" i="14" s="1"/>
  <c r="E5" i="13"/>
  <c r="F5" i="13" s="1"/>
  <c r="G5" i="13" s="1"/>
  <c r="A10" i="13" s="1"/>
  <c r="B10" i="13" s="1"/>
  <c r="C10" i="13" s="1"/>
  <c r="D10" i="13" s="1"/>
  <c r="E10" i="13" s="1"/>
  <c r="F10" i="13" s="1"/>
  <c r="G10" i="13" s="1"/>
  <c r="A15" i="13" s="1"/>
  <c r="B15" i="13" s="1"/>
  <c r="C15" i="13" s="1"/>
  <c r="D15" i="13" s="1"/>
  <c r="E15" i="13" s="1"/>
  <c r="F15" i="13" s="1"/>
  <c r="G15" i="13" s="1"/>
  <c r="A20" i="13" s="1"/>
  <c r="B20" i="13" s="1"/>
  <c r="C20" i="13" s="1"/>
  <c r="D20" i="13" s="1"/>
  <c r="E20" i="13" s="1"/>
  <c r="F20" i="13" s="1"/>
  <c r="G20" i="13" s="1"/>
  <c r="A25" i="13" s="1"/>
  <c r="B25" i="13" s="1"/>
  <c r="C25" i="13" s="1"/>
  <c r="D25" i="13" s="1"/>
  <c r="E25" i="13" s="1"/>
  <c r="F25" i="13" s="1"/>
  <c r="G25" i="13" s="1"/>
  <c r="C5" i="12"/>
  <c r="D5" i="12" s="1"/>
  <c r="E5" i="12" s="1"/>
  <c r="F5" i="12" s="1"/>
  <c r="G5" i="12" s="1"/>
  <c r="A10" i="12" s="1"/>
  <c r="B10" i="12" s="1"/>
  <c r="C10" i="12" s="1"/>
  <c r="D10" i="12" s="1"/>
  <c r="E10" i="12" s="1"/>
  <c r="F10" i="12" s="1"/>
  <c r="G10" i="12" s="1"/>
  <c r="A15" i="12" s="1"/>
  <c r="B15" i="12" s="1"/>
  <c r="C15" i="12" s="1"/>
  <c r="D15" i="12" s="1"/>
  <c r="E15" i="12" s="1"/>
  <c r="F15" i="12" s="1"/>
  <c r="G15" i="12" s="1"/>
  <c r="A20" i="12" s="1"/>
  <c r="B20" i="12" s="1"/>
  <c r="C20" i="12" s="1"/>
  <c r="D20" i="12" s="1"/>
  <c r="E20" i="12" s="1"/>
  <c r="F20" i="12" s="1"/>
  <c r="G20" i="12" s="1"/>
  <c r="A25" i="12" s="1"/>
  <c r="B25" i="12" s="1"/>
  <c r="C25" i="12" s="1"/>
  <c r="D25" i="12" s="1"/>
  <c r="G5" i="19"/>
  <c r="A10" i="19" s="1"/>
  <c r="B10" i="19" s="1"/>
  <c r="C10" i="19" s="1"/>
  <c r="D10" i="19" s="1"/>
  <c r="E10" i="19" s="1"/>
  <c r="F10" i="19" s="1"/>
  <c r="G10" i="19" s="1"/>
  <c r="A15" i="19" s="1"/>
  <c r="B15" i="19" s="1"/>
  <c r="C15" i="19" s="1"/>
  <c r="D15" i="19" s="1"/>
  <c r="E15" i="19" s="1"/>
  <c r="F15" i="19" s="1"/>
  <c r="G15" i="19" s="1"/>
  <c r="A20" i="19" s="1"/>
  <c r="B20" i="19" s="1"/>
  <c r="C20" i="19" s="1"/>
  <c r="D20" i="19" s="1"/>
  <c r="E20" i="19" s="1"/>
  <c r="F20" i="19" s="1"/>
  <c r="G20" i="19" s="1"/>
  <c r="A25" i="19" s="1"/>
  <c r="B25" i="19" s="1"/>
  <c r="C25" i="19" s="1"/>
  <c r="D25" i="19" s="1"/>
  <c r="E25" i="19" s="1"/>
  <c r="F25" i="19" s="1"/>
  <c r="G25" i="19" s="1"/>
  <c r="A30" i="19" s="1"/>
  <c r="G5" i="1"/>
  <c r="A10" i="1" s="1"/>
  <c r="B10" i="1" s="1"/>
  <c r="C10" i="1" s="1"/>
  <c r="D10" i="1" s="1"/>
  <c r="E10" i="1" s="1"/>
  <c r="F10" i="1" s="1"/>
  <c r="G10" i="1" s="1"/>
  <c r="A15" i="1" s="1"/>
  <c r="B15" i="1" s="1"/>
  <c r="C15" i="1" s="1"/>
  <c r="D15" i="1" s="1"/>
  <c r="E15" i="1" s="1"/>
  <c r="F15" i="1" s="1"/>
  <c r="G15" i="1" s="1"/>
  <c r="A20" i="1" s="1"/>
  <c r="B20" i="1" s="1"/>
  <c r="C20" i="1" s="1"/>
  <c r="D20" i="1" s="1"/>
  <c r="E20" i="1" s="1"/>
  <c r="F20" i="1" s="1"/>
  <c r="G20" i="1" s="1"/>
  <c r="A25" i="1" s="1"/>
  <c r="B25" i="1" s="1"/>
  <c r="C25" i="1" s="1"/>
  <c r="D25" i="1" s="1"/>
  <c r="E25" i="1" s="1"/>
  <c r="F25" i="1" s="1"/>
  <c r="G25" i="1" s="1"/>
  <c r="A30" i="1" s="1"/>
  <c r="B30" i="1" s="1"/>
  <c r="I56" i="37" l="1"/>
  <c r="I64" i="38"/>
  <c r="B33" i="27" s="1"/>
  <c r="I62" i="39"/>
  <c r="B31" i="27" s="1"/>
  <c r="I33" i="41"/>
  <c r="B34" i="27" s="1"/>
  <c r="I33" i="40"/>
  <c r="B35" i="27" s="1"/>
  <c r="D7" i="38" a="1"/>
  <c r="D7" i="38" s="1"/>
  <c r="D5" i="37" a="1"/>
  <c r="D5" i="37" s="1"/>
  <c r="D3" i="37" a="1"/>
  <c r="D3" i="37" s="1"/>
  <c r="D7" i="37" a="1"/>
  <c r="D7" i="37" s="1"/>
  <c r="D6" i="37" a="1"/>
  <c r="D6" i="37" s="1"/>
  <c r="D9" i="37" a="1"/>
  <c r="D9" i="37" s="1"/>
  <c r="D8" i="37" a="1"/>
  <c r="D8" i="37" s="1"/>
  <c r="D7" i="39" a="1"/>
  <c r="D7" i="39" s="1"/>
  <c r="D7" i="40" a="1"/>
  <c r="D7" i="40" s="1"/>
  <c r="D5" i="40" a="1"/>
  <c r="D5" i="40" s="1"/>
  <c r="D6" i="40" a="1"/>
  <c r="D6" i="40" s="1"/>
  <c r="D8" i="40" a="1"/>
  <c r="D8" i="40" s="1"/>
  <c r="D3" i="40" a="1"/>
  <c r="D3" i="40" s="1"/>
  <c r="D9" i="40" a="1"/>
  <c r="D9" i="40" s="1"/>
  <c r="D8" i="38" a="1"/>
  <c r="D8" i="38" s="1"/>
  <c r="D3" i="38" a="1"/>
  <c r="D3" i="38" s="1"/>
  <c r="D9" i="38" a="1"/>
  <c r="D9" i="38" s="1"/>
  <c r="D4" i="38" a="1"/>
  <c r="D4" i="38" s="1"/>
  <c r="D5" i="38" a="1"/>
  <c r="D5" i="38" s="1"/>
  <c r="D6" i="38" a="1"/>
  <c r="D6" i="38" s="1"/>
  <c r="D8" i="39" a="1"/>
  <c r="D8" i="39" s="1"/>
  <c r="D3" i="39" a="1"/>
  <c r="D3" i="39" s="1"/>
  <c r="D9" i="39" a="1"/>
  <c r="D9" i="39" s="1"/>
  <c r="D5" i="39" a="1"/>
  <c r="D5" i="39" s="1"/>
  <c r="D6" i="39" a="1"/>
  <c r="D6" i="39" s="1"/>
  <c r="D64" i="38" l="1"/>
  <c r="C33" i="27" s="1"/>
  <c r="D56" i="37"/>
  <c r="C32" i="27" s="1"/>
  <c r="D62" i="39"/>
  <c r="C31" i="27" s="1"/>
  <c r="D33" i="40"/>
  <c r="C35" i="27" s="1"/>
  <c r="C36" i="27" l="1"/>
  <c r="B32" i="27"/>
  <c r="B36" i="2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4CBC73-35CC-4559-92CE-1E46D3DC1BF4}" keepAlive="1" interval="30" name="Query - Approval Status" description="Connection to the 'Approval Status' query in the workbook." type="5" refreshedVersion="8" background="1" refreshOnLoad="1" saveData="1">
    <dbPr connection="Provider=Microsoft.Mashup.OleDb.1;Data Source=$Workbook$;Location=&quot;Approval Status&quot;;Extended Properties=&quot;&quot;" command="SELECT * FROM [Approval Status]"/>
  </connection>
  <connection id="2" xr16:uid="{D38ED1CF-5FA2-4364-BEE1-AB694550A5C9}" keepAlive="1" interval="30" name="Query - Upcoming Events" description="Connection to the 'Upcoming Events' query in the workbook." type="5" refreshedVersion="8" background="1" refreshOnLoad="1" saveData="1">
    <dbPr connection="Provider=Microsoft.Mashup.OleDb.1;Data Source=$Workbook$;Location=&quot;Upcoming Events&quot;;Extended Properties=&quot;&quot;" command="SELECT * FROM [Upcoming Even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<sst xmlns="http://schemas.openxmlformats.org/spreadsheetml/2006/main" count="1334" uniqueCount="257">
  <si>
    <t>SUNDAY</t>
  </si>
  <si>
    <t>MONDAY</t>
  </si>
  <si>
    <t>TUESDAY</t>
  </si>
  <si>
    <t>WEDNESDAY</t>
  </si>
  <si>
    <t>THURSDAY</t>
  </si>
  <si>
    <t>FRIDAY</t>
  </si>
  <si>
    <t>SATURDAY</t>
  </si>
  <si>
    <t>March 2025</t>
  </si>
  <si>
    <t>Alumus</t>
  </si>
  <si>
    <t>Alante</t>
  </si>
  <si>
    <t>Aleca</t>
  </si>
  <si>
    <t>Encore</t>
  </si>
  <si>
    <t>Sante</t>
  </si>
  <si>
    <t>Mesa</t>
  </si>
  <si>
    <t>Chandler</t>
  </si>
  <si>
    <t>Surprise</t>
  </si>
  <si>
    <t>Mesa: Shamrock Shake Social Hour 11:30AM</t>
  </si>
  <si>
    <t>Mesa: Employee Appreciation BBQ 11:30AM</t>
  </si>
  <si>
    <t xml:space="preserve">Mesa: St. Patrick Day Celebration </t>
  </si>
  <si>
    <t>Mesa: Potato Bar Fun-Raiser 11:30AM</t>
  </si>
  <si>
    <t>Aleca: March Madness Skills Fair &amp; BBQ 11AM</t>
  </si>
  <si>
    <t xml:space="preserve">Chandler: Luck to work with you Telegrams! </t>
  </si>
  <si>
    <t>Chandler: Vaccine Clinis 9:15-10:45AM</t>
  </si>
  <si>
    <t xml:space="preserve">Chandler: Overhead Trivia </t>
  </si>
  <si>
    <t>Chandler: Pi Day Social 11:30AM</t>
  </si>
  <si>
    <t>Chandler: St. Patty's Day BBQ! 12PM</t>
  </si>
  <si>
    <t>April 2025</t>
  </si>
  <si>
    <t>May 2025</t>
  </si>
  <si>
    <t>June 2025</t>
  </si>
  <si>
    <t>July 2025</t>
  </si>
  <si>
    <t>August 2025</t>
  </si>
  <si>
    <t>September 2025</t>
  </si>
  <si>
    <t>October 2025</t>
  </si>
  <si>
    <t>November 2025</t>
  </si>
  <si>
    <t>December 2025</t>
  </si>
  <si>
    <t xml:space="preserve">North S. : North Scottsdale </t>
  </si>
  <si>
    <t>CI: Clearbrook Inn</t>
  </si>
  <si>
    <t xml:space="preserve">CM: Country Meadows </t>
  </si>
  <si>
    <t xml:space="preserve">NWL: Northwoods Lodge </t>
  </si>
  <si>
    <t xml:space="preserve">LC: Laurel Cove </t>
  </si>
  <si>
    <t xml:space="preserve">RC: Regent Court </t>
  </si>
  <si>
    <t xml:space="preserve">Ridge: The Ridge </t>
  </si>
  <si>
    <t>Mesa: Open House and Happy Hour 4:30PM</t>
  </si>
  <si>
    <t xml:space="preserve">Rating (Out of five): </t>
  </si>
  <si>
    <t xml:space="preserve">Purpose of Event: </t>
  </si>
  <si>
    <t>What went well?</t>
  </si>
  <si>
    <t>What could have been better?</t>
  </si>
  <si>
    <t>Should we consider attending this event again in the future?</t>
  </si>
  <si>
    <t>NO</t>
  </si>
  <si>
    <t xml:space="preserve">YES </t>
  </si>
  <si>
    <t>Why?</t>
  </si>
  <si>
    <t>Any Other Feedback?</t>
  </si>
  <si>
    <t>Who was lead?</t>
  </si>
  <si>
    <t>February 2025</t>
  </si>
  <si>
    <t>MKT: Marketing Events</t>
  </si>
  <si>
    <t>REC: Recruiting Events</t>
  </si>
  <si>
    <t>REC: GCU Healthcare Career Fair</t>
  </si>
  <si>
    <t>MKT: Phoenix Heart Walk 8AM</t>
  </si>
  <si>
    <t>MKT: ACMA AZ Chpt. - Transition of Care 7AM</t>
  </si>
  <si>
    <t>MKT: George Rozsa Golf Classic - Dignity Health Foundation EV 6AM</t>
  </si>
  <si>
    <t>MKT: CMSA AZ Annual Conference 7AM</t>
  </si>
  <si>
    <t xml:space="preserve">REC: AZ College of Nursing Job Fair </t>
  </si>
  <si>
    <t>GCU Healthcare Career Fair: 3/3/25</t>
  </si>
  <si>
    <t xml:space="preserve">How many contacts were received? </t>
  </si>
  <si>
    <t>REC: Gateway Community College OTA/PTA Career Fair 9AM</t>
  </si>
  <si>
    <t xml:space="preserve">REC: EVIT Power Campus Career Fair </t>
  </si>
  <si>
    <t>REC: EVIT Mesa Main Campus Career Fair</t>
  </si>
  <si>
    <t>Gateway Community College OTA/PTA Career Fair: 4/8/25</t>
  </si>
  <si>
    <t>Event Description</t>
  </si>
  <si>
    <t>Cost Breakdown:</t>
  </si>
  <si>
    <t xml:space="preserve">Who is the target audience? </t>
  </si>
  <si>
    <t>Which budget/deparment will pay for event?</t>
  </si>
  <si>
    <t xml:space="preserve">Website of event: </t>
  </si>
  <si>
    <t>AZ College of Nursing Job Fair:  2/20/25</t>
  </si>
  <si>
    <t>EVIT Power Campus Career Fair: 4/4/2025</t>
  </si>
  <si>
    <t>EVIT Mesa Main Campus Career Fair: 4/11/2025</t>
  </si>
  <si>
    <t>January 2025</t>
  </si>
  <si>
    <t>MKT: State of the State- The Hertel Report</t>
  </si>
  <si>
    <t>State of the State - The Hertel Report: 1/31/25</t>
  </si>
  <si>
    <t>How many attendees are expected?</t>
  </si>
  <si>
    <t>ACMA AZ Chapter Event: 3/8/25</t>
  </si>
  <si>
    <t>2025 National Conference Denver - ACMA: 4/3/25 - 4/6/25</t>
  </si>
  <si>
    <t>MKT: 2025 National Conferences Denver - ACMA</t>
  </si>
  <si>
    <t>Phoenix Heart Walk: 4/29/2025</t>
  </si>
  <si>
    <t>How many of our team attended?</t>
  </si>
  <si>
    <t>MKT: Population Health Management Summit</t>
  </si>
  <si>
    <t>Population Health Management Summit: 4/9/25 - 4/10/25</t>
  </si>
  <si>
    <t xml:space="preserve">Category of Event? </t>
  </si>
  <si>
    <t>MKT: NAACOS - Accountable Care Organizations</t>
  </si>
  <si>
    <t>NAACOS - Accountable Care Organizations: 4/22/25 - 4/24/25</t>
  </si>
  <si>
    <t>CMSA AZ Annual Conference: 5/2/2025</t>
  </si>
  <si>
    <t>MKT: OR ACHE Spring Conference</t>
  </si>
  <si>
    <t>OR ACHE Spring Conference: 5/16/2025</t>
  </si>
  <si>
    <t>MKT: Hospital Association of OR 2025 Annual Member Meeting</t>
  </si>
  <si>
    <t>Hospital Association of OR 2025 Annual Member Meeting: 10/1/2025 - 10/3/2025</t>
  </si>
  <si>
    <t>MKT: Oregon Geriatric Society</t>
  </si>
  <si>
    <t>NAACOS - Accountable Care Organizations: 10/8/2025 - 10/10/2025</t>
  </si>
  <si>
    <t>MKT: Annual Leadership Conference (AZHHA)</t>
  </si>
  <si>
    <t>Annual Leadership Conference (AZHHA): 10/29/2025 - 10/31/2025</t>
  </si>
  <si>
    <t>NS: Ice Cream Social</t>
  </si>
  <si>
    <t>NS: Baked Potato Fundraiser</t>
  </si>
  <si>
    <t>NS: Easter Egg Hunt</t>
  </si>
  <si>
    <t>NS: Pasta Bar</t>
  </si>
  <si>
    <t>NS: Earth Day Treat</t>
  </si>
  <si>
    <t xml:space="preserve">Surprise: BBQ Festival </t>
  </si>
  <si>
    <t>Mesa: Elote Employee Fundraiser Sale 11:30AM</t>
  </si>
  <si>
    <t xml:space="preserve">Mesa: Color Themed Potluck 11:30AM </t>
  </si>
  <si>
    <t xml:space="preserve">Event Contacts: </t>
  </si>
  <si>
    <t>Event Name</t>
  </si>
  <si>
    <t>State of the State - The Hertel Report</t>
  </si>
  <si>
    <t>ACMA AZ Chapter Event</t>
  </si>
  <si>
    <t>2025 National Conference Denver - ACMA</t>
  </si>
  <si>
    <t>Phoenix Heart Walk</t>
  </si>
  <si>
    <t>Population Health Management Summit</t>
  </si>
  <si>
    <t>NAACOS - Accountable Care Organizations</t>
  </si>
  <si>
    <t>CMSA AZ Annual Conference</t>
  </si>
  <si>
    <t>OR ACHE Spring Conference</t>
  </si>
  <si>
    <t>Hospital Association of OR 2025 Annual Member Meeting</t>
  </si>
  <si>
    <t>Oregon Geriatrics Society</t>
  </si>
  <si>
    <t>Annual Leadership Conference (AZHHA)</t>
  </si>
  <si>
    <t>Approval Status</t>
  </si>
  <si>
    <t>Not Approved</t>
  </si>
  <si>
    <t>Approved</t>
  </si>
  <si>
    <t>Event Date</t>
  </si>
  <si>
    <t>Pending Approval for Events</t>
  </si>
  <si>
    <t>Pending…</t>
  </si>
  <si>
    <t>Recruiting or Development</t>
  </si>
  <si>
    <t>DEV</t>
  </si>
  <si>
    <t xml:space="preserve">Should we attend again? </t>
  </si>
  <si>
    <t>YES</t>
  </si>
  <si>
    <t>Unsure</t>
  </si>
  <si>
    <t>Not Attended Yet…</t>
  </si>
  <si>
    <t>Alante / Aleca / Sante</t>
  </si>
  <si>
    <t xml:space="preserve">Alante / Aleca </t>
  </si>
  <si>
    <t>Which Budget/Department will pay for event?</t>
  </si>
  <si>
    <t>Gateway Community College OTA/PTA Career Fair</t>
  </si>
  <si>
    <t>Sante / Aleca</t>
  </si>
  <si>
    <t>REC</t>
  </si>
  <si>
    <t>EVIT Power Campus Career Fair</t>
  </si>
  <si>
    <t>EVIT Mesa Main Campus Career Fair</t>
  </si>
  <si>
    <t xml:space="preserve"> </t>
  </si>
  <si>
    <t>Upcoming Events</t>
  </si>
  <si>
    <t>How many contacts were made?</t>
  </si>
  <si>
    <t xml:space="preserve">Cost of attending? </t>
  </si>
  <si>
    <t>Bob Mancini</t>
  </si>
  <si>
    <t>Bob Mancini &amp; Kerri Cumminskey</t>
  </si>
  <si>
    <t>Who was Event Lead?</t>
  </si>
  <si>
    <t>Who attended the Event?</t>
  </si>
  <si>
    <t>Kerri Cummiskey</t>
  </si>
  <si>
    <t>Not Attended</t>
  </si>
  <si>
    <t>27 staff members</t>
  </si>
  <si>
    <t xml:space="preserve">Melissa McCoy </t>
  </si>
  <si>
    <t>Unknown</t>
  </si>
  <si>
    <t>None</t>
  </si>
  <si>
    <t xml:space="preserve">None </t>
  </si>
  <si>
    <t>Free</t>
  </si>
  <si>
    <t xml:space="preserve">How many attendees are expecteed to attend? </t>
  </si>
  <si>
    <t>Total Budget Needed</t>
  </si>
  <si>
    <t>AZ College of Nursing Job Fair</t>
  </si>
  <si>
    <t>GCU Healthcare Career Fair</t>
  </si>
  <si>
    <t>Approved by?</t>
  </si>
  <si>
    <t>Jessica, Shannon</t>
  </si>
  <si>
    <t>Lori</t>
  </si>
  <si>
    <t>Jessica, Shannon, Lori</t>
  </si>
  <si>
    <t>Patricia, Shannon, Jessica, Lori</t>
  </si>
  <si>
    <t>Mark Hansen</t>
  </si>
  <si>
    <t>Aleca's Cost</t>
  </si>
  <si>
    <t>Total Budget?</t>
  </si>
  <si>
    <t>Which Department?</t>
  </si>
  <si>
    <t>Alante's Cost</t>
  </si>
  <si>
    <t>Alumus's Cost</t>
  </si>
  <si>
    <t>Department</t>
  </si>
  <si>
    <t>YTD Spending for Events</t>
  </si>
  <si>
    <t xml:space="preserve">Total Spending: </t>
  </si>
  <si>
    <t>Alante / Aleca</t>
  </si>
  <si>
    <t>Arizona Association for Home Care (AAHC) Conference Expo: 6/25/2025 - 6/26/2025</t>
  </si>
  <si>
    <t>Arizona Health Care Association (AHCA) Convention &amp; Expo: 6/16/2025 - 6/18/2025</t>
  </si>
  <si>
    <t>32'nd Annual Internal Medicine Review: 4/10/2025 - 4/11/2025</t>
  </si>
  <si>
    <t>Oregon Health Care Association (OHCA): 9/23/2025 - 9/24/2025</t>
  </si>
  <si>
    <t xml:space="preserve">2025 George Rozsa Golf Classic - Dignity Health Foundation EV: 4/9/2025 </t>
  </si>
  <si>
    <t>Cost breakdown?</t>
  </si>
  <si>
    <t>2025 George Rozsa Golf Classic</t>
  </si>
  <si>
    <t>Patricia, Jake, Thomas</t>
  </si>
  <si>
    <t>15 staff members</t>
  </si>
  <si>
    <t>17 staff members</t>
  </si>
  <si>
    <t>Seattle Nursing Research Workshop &amp; Conference: 4/28/2025 - 4/29/2025</t>
  </si>
  <si>
    <t>Washington Health Care Association (WHCA) Annual Convention: 5/19/2025 - 5/21/2025</t>
  </si>
  <si>
    <t>2025 American Association of Nurse Practitioners (AANP) National Conference: 6/17/2025 - 6/22/2025</t>
  </si>
  <si>
    <t>41st Annual Geriatric Care CNE Nursing Conference: 6/10/2025</t>
  </si>
  <si>
    <t>Association of Rehabilitation Nurses (ARN) Annual Conference: 7/31/2025 - 8/2/2025</t>
  </si>
  <si>
    <t>University of Arizona Health Professions Expo: 2/20/2025</t>
  </si>
  <si>
    <t>American Physical Therapy Association (APTA) Oregon Chapter Spring Conference: 3/1/2025</t>
  </si>
  <si>
    <t>Annual Assembly Hospice &amp; Palliative Care (AAHPM): 2/5/2025 - 2/8/2025</t>
  </si>
  <si>
    <t>Arizona Association for Home Care (AAHC) Conference Expo</t>
  </si>
  <si>
    <t>Actual Costs</t>
  </si>
  <si>
    <t>Sante's Actual Cost</t>
  </si>
  <si>
    <t>Sante's Projected Cost</t>
  </si>
  <si>
    <t>Column1</t>
  </si>
  <si>
    <t>Projected Costs:</t>
  </si>
  <si>
    <t>Projected Costs</t>
  </si>
  <si>
    <t xml:space="preserve">  </t>
  </si>
  <si>
    <t>Arizona Health Care Association (AHCA) Convention &amp; Expo</t>
  </si>
  <si>
    <t>Kerri Cummiskey / Melissa McCoy</t>
  </si>
  <si>
    <t>32'nd Annual Internal Medicine Review</t>
  </si>
  <si>
    <t>Oregon Health Care Association (OHCA)</t>
  </si>
  <si>
    <t>Washington Health Care Association (WHCA) Annual Convention</t>
  </si>
  <si>
    <t>Encore / Aleca</t>
  </si>
  <si>
    <t>2025 American Association of Nurse Practitioners (AANP) National Conference</t>
  </si>
  <si>
    <t>41st Annual Geriatric Care CNE Nursing Conference</t>
  </si>
  <si>
    <t>Association of Rehabilitation Nurses (ARN) Annual Conference</t>
  </si>
  <si>
    <t>Annual Assembly Hospice &amp; Palliative Care (AAHPM)</t>
  </si>
  <si>
    <t>Seattle Nursing Research Workshop &amp; Conference</t>
  </si>
  <si>
    <t>Alante / Aleca / Encore</t>
  </si>
  <si>
    <t>University of Arizona Health Professions Expo</t>
  </si>
  <si>
    <t>-</t>
  </si>
  <si>
    <t>Patricia</t>
  </si>
  <si>
    <t># of leads or interested applicants at the event</t>
  </si>
  <si>
    <t># of applicants who actually applied</t>
  </si>
  <si>
    <t># of applicants hired after 90 days</t>
  </si>
  <si>
    <t>Kerri Cummiskey &amp; Mark Hansen</t>
  </si>
  <si>
    <t>Jessica and Mark</t>
  </si>
  <si>
    <t>State?</t>
  </si>
  <si>
    <t>Scottsdale, AZ</t>
  </si>
  <si>
    <t>Denver, CO</t>
  </si>
  <si>
    <t>Phoenix, AZ</t>
  </si>
  <si>
    <t>Gilbert, AZ</t>
  </si>
  <si>
    <t>Tempe, AZ</t>
  </si>
  <si>
    <t>Atlanta, GA</t>
  </si>
  <si>
    <t>Portland, OR</t>
  </si>
  <si>
    <t>Mesa, AZ</t>
  </si>
  <si>
    <t>Baltimore, MD</t>
  </si>
  <si>
    <t>Renton, WA</t>
  </si>
  <si>
    <t>Springfield, OR</t>
  </si>
  <si>
    <t>Tacoma, WA</t>
  </si>
  <si>
    <t>Rochester, MN</t>
  </si>
  <si>
    <t>Glendale, AZ</t>
  </si>
  <si>
    <t>San Diego, CA</t>
  </si>
  <si>
    <t>Sunriver, OR</t>
  </si>
  <si>
    <t>Washington, DC</t>
  </si>
  <si>
    <t>Oregon Geriatrics Society: 10/2/2025 - 10/5/2025</t>
  </si>
  <si>
    <t>Tucson, AZ</t>
  </si>
  <si>
    <t>7 Sante</t>
  </si>
  <si>
    <t>Lori, Jessica</t>
  </si>
  <si>
    <t>Conflicted w. other Event</t>
  </si>
  <si>
    <t>Jessica, Shannon, Mark</t>
  </si>
  <si>
    <t>Shannon, Adam, Mark, Jessica</t>
  </si>
  <si>
    <t>Adam Filbey</t>
  </si>
  <si>
    <t>Jessica, Mark</t>
  </si>
  <si>
    <t>Banner Ball: A Celebration of Caring and Cures</t>
  </si>
  <si>
    <t>Banner Ball: A Celebration of Caring and Cures: 11/1/2025</t>
  </si>
  <si>
    <t>Sante Budget Sheet</t>
  </si>
  <si>
    <t xml:space="preserve">AZ College of Nursing Job Fair </t>
  </si>
  <si>
    <t xml:space="preserve">ACMA AZ Chapter Event </t>
  </si>
  <si>
    <t xml:space="preserve">Gateway Community College OTA/PTA Career Fair </t>
  </si>
  <si>
    <t xml:space="preserve">2025 George Rosza Golf Classic </t>
  </si>
  <si>
    <t xml:space="preserve">EVIT Mesa Main Campus Career Fair </t>
  </si>
  <si>
    <t>Arizona Health Care Association (AHCA) Convention and Expo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</si>
</sst>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22" x14ac:knownFonts="1">
    <font>
      <sz val="11"/>
      <color theme="1"/>
      <name val="Aptos Narrow"/>
      <family val="2"/>
      <scheme val="minor"/>
    </font>
    <font>
      <sz val="8"/>
      <name val="Aptos Narrow"/>
      <family val="2"/>
      <scheme val="minor"/>
    </font>
    <font>
      <sz val="14"/>
      <color theme="1"/>
      <name val="Aptos Narrow"/>
      <family val="2"/>
      <scheme val="minor"/>
    </font>
    <font>
      <b/>
      <sz val="14"/>
      <color theme="1"/>
      <name val="Aptos Narrow"/>
      <family val="2"/>
      <scheme val="minor"/>
    </font>
    <font>
      <b/>
      <sz val="24"/>
      <color theme="1"/>
      <name val="Aptos Narrow"/>
      <family val="2"/>
      <scheme val="minor"/>
    </font>
    <font>
      <sz val="20"/>
      <color theme="1"/>
      <name val="Aptos Narrow"/>
      <family val="2"/>
      <scheme val="minor"/>
    </font>
    <font>
      <sz val="12"/>
      <color theme="1"/>
      <name val="Aptos Narrow"/>
      <family val="2"/>
      <scheme val="minor"/>
    </font>
    <font>
      <sz val="14"/>
      <color theme="0"/>
      <name val="Aptos Narrow"/>
      <family val="2"/>
      <scheme val="minor"/>
    </font>
    <font>
      <u/>
      <sz val="11"/>
      <color theme="10"/>
      <name val="Aptos Narrow"/>
      <family val="2"/>
      <scheme val="minor"/>
    </font>
    <font>
      <u/>
      <sz val="14"/>
      <color theme="0"/>
      <name val="Aptos Narrow"/>
      <family val="2"/>
      <scheme val="minor"/>
    </font>
    <font>
      <b/>
      <sz val="11"/>
      <color theme="1"/>
      <name val="Aptos Narrow"/>
      <family val="2"/>
      <scheme val="minor"/>
    </font>
    <font>
      <u/>
      <sz val="14"/>
      <color theme="10"/>
      <name val="Aptos Narrow"/>
      <family val="2"/>
      <scheme val="minor"/>
    </font>
    <font>
      <b/>
      <sz val="11"/>
      <color theme="0"/>
      <name val="Aptos Narrow"/>
      <family val="2"/>
      <scheme val="minor"/>
    </font>
    <font>
      <u/>
      <sz val="11"/>
      <color theme="1"/>
      <name val="Aptos Narrow"/>
      <family val="2"/>
      <scheme val="minor"/>
    </font>
    <font>
      <sz val="11"/>
      <color theme="1"/>
      <name val="Aptos Narrow"/>
      <family val="2"/>
      <scheme val="minor"/>
    </font>
    <font>
      <u/>
      <sz val="11"/>
      <name val="Aptos Narrow"/>
      <family val="2"/>
      <scheme val="minor"/>
    </font>
    <font>
      <sz val="16"/>
      <color theme="0"/>
      <name val="Aptos Narrow"/>
      <family val="2"/>
      <scheme val="minor"/>
    </font>
    <font>
      <sz val="16"/>
      <color theme="1"/>
      <name val="Aptos Narrow"/>
      <family val="2"/>
      <scheme val="minor"/>
    </font>
    <font>
      <sz val="11"/>
      <color theme="0"/>
      <name val="Aptos Narrow"/>
      <family val="2"/>
      <scheme val="minor"/>
    </font>
    <font>
      <sz val="18"/>
      <color theme="1"/>
      <name val="Aptos Narrow"/>
      <family val="2"/>
      <scheme val="minor"/>
    </font>
    <font>
      <sz val="19"/>
      <color theme="1"/>
      <name val="Aptos Narrow"/>
      <family val="2"/>
      <scheme val="minor"/>
    </font>
    <font>
      <sz val="17"/>
      <color theme="1"/>
      <name val="Aptos Narrow"/>
      <family val="2"/>
      <scheme val="minor"/>
    </font>
  </fonts>
  <fills count="14">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rgb="FF7030A0"/>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bgColor indexed="64"/>
      </patternFill>
    </fill>
    <fill>
      <patternFill patternType="solid">
        <fgColor rgb="FFFFFF00"/>
        <bgColor indexed="64"/>
      </patternFill>
    </fill>
    <fill>
      <patternFill patternType="solid">
        <fgColor theme="5"/>
        <bgColor indexed="64"/>
      </patternFill>
    </fill>
    <fill>
      <patternFill patternType="solid">
        <fgColor theme="2" tint="-0.89999084444715716"/>
        <bgColor indexed="64"/>
      </patternFill>
    </fill>
    <fill>
      <patternFill patternType="solid">
        <fgColor theme="8" tint="0.79998168889431442"/>
        <bgColor indexed="64"/>
      </patternFill>
    </fill>
    <fill>
      <patternFill patternType="solid">
        <fgColor theme="5" tint="-0.499984740745262"/>
        <bgColor indexed="64"/>
      </patternFill>
    </fill>
  </fills>
  <borders count="2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top style="thin">
        <color indexed="64"/>
      </top>
      <bottom style="thin">
        <color indexed="64"/>
      </bottom>
      <diagonal/>
    </border>
    <border>
      <left/>
      <right/>
      <top style="thin">
        <color indexed="64"/>
      </top>
      <bottom/>
      <diagonal/>
    </border>
  </borders>
  <cellStyleXfs count="3">
    <xf numFmtId="0" fontId="0" fillId="0" borderId="0"/>
    <xf numFmtId="0" fontId="8" fillId="0" borderId="0" applyNumberFormat="0" applyFill="0" applyBorder="0" applyAlignment="0" applyProtection="0"/>
    <xf numFmtId="44" fontId="14" fillId="0" borderId="0" applyFont="0" applyFill="0" applyBorder="0" applyAlignment="0" applyProtection="0"/>
  </cellStyleXfs>
  <cellXfs count="182">
    <xf numFmtId="0" fontId="0" fillId="0" borderId="0" xfId="0"/>
    <xf numFmtId="0" fontId="2" fillId="2" borderId="0" xfId="0" applyFont="1" applyFill="1"/>
    <xf numFmtId="0" fontId="3" fillId="2" borderId="1" xfId="0" applyFont="1" applyFill="1" applyBorder="1" applyAlignment="1">
      <alignment horizontal="center" vertical="center"/>
    </xf>
    <xf numFmtId="0" fontId="2" fillId="2" borderId="2" xfId="0" applyFont="1" applyFill="1" applyBorder="1"/>
    <xf numFmtId="0" fontId="2" fillId="2" borderId="0" xfId="0" applyFont="1" applyFill="1" applyAlignment="1">
      <alignment horizontal="center" vertical="center"/>
    </xf>
    <xf numFmtId="0" fontId="2" fillId="2" borderId="3" xfId="0" applyFont="1" applyFill="1" applyBorder="1"/>
    <xf numFmtId="0" fontId="2" fillId="2" borderId="4" xfId="0" applyFont="1" applyFill="1" applyBorder="1"/>
    <xf numFmtId="0" fontId="2" fillId="2" borderId="3" xfId="0" applyFont="1" applyFill="1" applyBorder="1" applyAlignment="1">
      <alignment wrapText="1"/>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0" fillId="3" borderId="0" xfId="0" applyFill="1"/>
    <xf numFmtId="0" fontId="0" fillId="3" borderId="8" xfId="0" applyFill="1" applyBorder="1"/>
    <xf numFmtId="0" fontId="0" fillId="3" borderId="9" xfId="0" applyFill="1" applyBorder="1"/>
    <xf numFmtId="0" fontId="6" fillId="3" borderId="8" xfId="0" applyFont="1" applyFill="1" applyBorder="1"/>
    <xf numFmtId="0" fontId="6" fillId="3" borderId="0" xfId="0" applyFont="1" applyFill="1"/>
    <xf numFmtId="0" fontId="0" fillId="3" borderId="10" xfId="0" applyFill="1" applyBorder="1"/>
    <xf numFmtId="0" fontId="0" fillId="3" borderId="11" xfId="0" applyFill="1" applyBorder="1"/>
    <xf numFmtId="0" fontId="0" fillId="3" borderId="12" xfId="0" applyFill="1" applyBorder="1"/>
    <xf numFmtId="0" fontId="0" fillId="3" borderId="0" xfId="0" applyFill="1" applyAlignment="1">
      <alignment horizontal="left" vertical="top"/>
      <extLst>
        <ext xmlns:xfpb="http://schemas.microsoft.com/office/spreadsheetml/2022/featurepropertybag" uri="{C7286773-470A-42A8-94C5-96B5CB345126}">
          <xfpb:xfComplement i="0"/>
        </ext>
      </extLst>
    </xf>
    <xf numFmtId="0" fontId="0" fillId="3" borderId="0" xfId="0" applyFill="1" applyAlignment="1">
      <alignment horizontal="right"/>
      <extLst>
        <ext xmlns:xfpb="http://schemas.microsoft.com/office/spreadsheetml/2022/featurepropertybag" uri="{C7286773-470A-42A8-94C5-96B5CB345126}">
          <xfpb:xfComplement i="0"/>
        </ext>
      </extLst>
    </xf>
    <xf numFmtId="0" fontId="0" fillId="3" borderId="0" xfId="0" applyFill="1" applyAlignment="1">
      <alignment horizontal="right"/>
    </xf>
    <xf numFmtId="0" fontId="7" fillId="2" borderId="3" xfId="0" applyFont="1" applyFill="1" applyBorder="1"/>
    <xf numFmtId="0" fontId="7" fillId="5" borderId="1" xfId="0" applyFont="1" applyFill="1" applyBorder="1" applyAlignment="1">
      <alignment horizontal="center" vertical="center" wrapText="1"/>
    </xf>
    <xf numFmtId="0" fontId="7" fillId="2" borderId="0" xfId="0" applyFont="1" applyFill="1"/>
    <xf numFmtId="0" fontId="7" fillId="2" borderId="3" xfId="0" applyFont="1" applyFill="1" applyBorder="1" applyAlignment="1">
      <alignment wrapText="1"/>
    </xf>
    <xf numFmtId="0" fontId="0" fillId="3" borderId="13" xfId="0" applyFill="1" applyBorder="1"/>
    <xf numFmtId="0" fontId="0" fillId="3" borderId="14" xfId="0" applyFill="1" applyBorder="1"/>
    <xf numFmtId="0" fontId="0" fillId="3" borderId="15" xfId="0" applyFill="1" applyBorder="1"/>
    <xf numFmtId="0" fontId="9" fillId="2" borderId="3" xfId="1" applyFont="1" applyFill="1" applyBorder="1" applyAlignment="1">
      <alignment wrapText="1"/>
    </xf>
    <xf numFmtId="0" fontId="9" fillId="4" borderId="3" xfId="1" applyFont="1" applyFill="1" applyBorder="1" applyAlignment="1">
      <alignment wrapText="1"/>
    </xf>
    <xf numFmtId="0" fontId="9" fillId="2" borderId="3" xfId="1" applyFont="1" applyFill="1" applyBorder="1" applyAlignment="1">
      <alignment horizontal="center" vertical="center" wrapText="1"/>
    </xf>
    <xf numFmtId="0" fontId="5" fillId="3" borderId="0" xfId="0" applyFont="1" applyFill="1"/>
    <xf numFmtId="0" fontId="9" fillId="2" borderId="3" xfId="1" applyFont="1" applyFill="1" applyBorder="1" applyAlignment="1">
      <alignment horizontal="left" wrapText="1"/>
    </xf>
    <xf numFmtId="0" fontId="10" fillId="3" borderId="0" xfId="0" applyFont="1" applyFill="1"/>
    <xf numFmtId="0" fontId="2" fillId="2" borderId="3" xfId="0" applyFont="1" applyFill="1" applyBorder="1" applyAlignment="1">
      <alignment horizontal="center"/>
    </xf>
    <xf numFmtId="0" fontId="2" fillId="2" borderId="8" xfId="0" applyFont="1" applyFill="1" applyBorder="1"/>
    <xf numFmtId="0" fontId="2" fillId="2" borderId="10" xfId="0" applyFont="1" applyFill="1" applyBorder="1"/>
    <xf numFmtId="0" fontId="0" fillId="6" borderId="0" xfId="0" applyFill="1"/>
    <xf numFmtId="0" fontId="0" fillId="7" borderId="6" xfId="0" applyFill="1" applyBorder="1"/>
    <xf numFmtId="0" fontId="0" fillId="7" borderId="5" xfId="0" applyFill="1" applyBorder="1"/>
    <xf numFmtId="0" fontId="0" fillId="0" borderId="8" xfId="0" applyBorder="1" applyAlignment="1">
      <alignment horizontal="center" vertical="center"/>
    </xf>
    <xf numFmtId="0" fontId="0" fillId="0" borderId="9" xfId="0" applyBorder="1" applyAlignment="1">
      <alignment horizontal="center" vertical="center"/>
    </xf>
    <xf numFmtId="14" fontId="0" fillId="0" borderId="11" xfId="0" applyNumberFormat="1" applyBorder="1" applyAlignment="1">
      <alignment horizontal="center" vertical="center"/>
    </xf>
    <xf numFmtId="0" fontId="12" fillId="8" borderId="16" xfId="0" applyFont="1" applyFill="1" applyBorder="1" applyAlignment="1">
      <alignment horizontal="center" vertical="center"/>
    </xf>
    <xf numFmtId="0" fontId="10" fillId="6" borderId="0" xfId="0" applyFont="1" applyFill="1" applyAlignment="1">
      <alignment horizontal="center" vertical="center"/>
    </xf>
    <xf numFmtId="0" fontId="0" fillId="6" borderId="0" xfId="0" applyFill="1" applyAlignment="1">
      <alignment horizontal="center" vertical="center"/>
    </xf>
    <xf numFmtId="14" fontId="0" fillId="6" borderId="0" xfId="0" applyNumberFormat="1" applyFill="1" applyAlignment="1">
      <alignment horizontal="center" vertical="center"/>
    </xf>
    <xf numFmtId="0" fontId="12" fillId="8" borderId="19" xfId="0" applyFont="1" applyFill="1" applyBorder="1" applyAlignment="1">
      <alignment horizontal="center" vertical="center"/>
    </xf>
    <xf numFmtId="0" fontId="12" fillId="8" borderId="17" xfId="0" applyFont="1" applyFill="1" applyBorder="1" applyAlignment="1">
      <alignment horizontal="center" vertical="center"/>
    </xf>
    <xf numFmtId="0" fontId="12" fillId="8" borderId="18" xfId="0" applyFont="1" applyFill="1" applyBorder="1" applyAlignment="1">
      <alignment horizontal="center" vertical="center"/>
    </xf>
    <xf numFmtId="14" fontId="12" fillId="8" borderId="19" xfId="0" applyNumberFormat="1" applyFont="1" applyFill="1" applyBorder="1" applyAlignment="1">
      <alignment horizontal="center" vertical="center"/>
    </xf>
    <xf numFmtId="0" fontId="0" fillId="9" borderId="0" xfId="0" applyFill="1" applyAlignment="1">
      <alignment horizontal="center" vertical="center"/>
    </xf>
    <xf numFmtId="0" fontId="10" fillId="9" borderId="0" xfId="0" applyFont="1" applyFill="1" applyAlignment="1">
      <alignment horizontal="center" vertical="center"/>
    </xf>
    <xf numFmtId="14" fontId="0" fillId="9" borderId="0" xfId="0" applyNumberFormat="1" applyFill="1" applyAlignment="1">
      <alignment horizontal="center" vertical="center"/>
    </xf>
    <xf numFmtId="0" fontId="3" fillId="6" borderId="0" xfId="0" applyFont="1" applyFill="1" applyAlignment="1">
      <alignment horizontal="center"/>
    </xf>
    <xf numFmtId="0" fontId="12" fillId="8" borderId="16" xfId="0" applyFont="1" applyFill="1" applyBorder="1" applyAlignment="1">
      <alignment horizontal="center" vertical="center" wrapText="1"/>
    </xf>
    <xf numFmtId="0" fontId="13" fillId="6" borderId="0" xfId="1" applyFont="1" applyFill="1" applyAlignment="1">
      <alignment horizontal="center" vertical="center"/>
    </xf>
    <xf numFmtId="0" fontId="13" fillId="9" borderId="0" xfId="1" applyFont="1" applyFill="1" applyAlignment="1">
      <alignment horizontal="center" vertical="center"/>
    </xf>
    <xf numFmtId="3" fontId="0" fillId="6" borderId="0" xfId="0" applyNumberFormat="1" applyFill="1" applyAlignment="1">
      <alignment horizontal="center" vertical="center"/>
    </xf>
    <xf numFmtId="0" fontId="0" fillId="6" borderId="0" xfId="0" applyFill="1" applyAlignment="1">
      <alignment horizontal="center" vertical="center" wrapText="1"/>
    </xf>
    <xf numFmtId="0" fontId="0" fillId="9" borderId="0" xfId="0" applyFill="1" applyAlignment="1">
      <alignment horizontal="center" vertical="center" wrapText="1"/>
    </xf>
    <xf numFmtId="0" fontId="3" fillId="6" borderId="0" xfId="0" applyFont="1" applyFill="1"/>
    <xf numFmtId="6" fontId="13" fillId="6" borderId="0" xfId="1" applyNumberFormat="1" applyFont="1" applyFill="1" applyAlignment="1">
      <alignment horizontal="center" vertical="center"/>
    </xf>
    <xf numFmtId="6" fontId="13" fillId="6" borderId="0" xfId="1" applyNumberFormat="1" applyFont="1" applyFill="1" applyAlignment="1">
      <alignment horizontal="center" vertical="center" wrapText="1"/>
    </xf>
    <xf numFmtId="0" fontId="0" fillId="0" borderId="0" xfId="0" applyAlignment="1">
      <alignment horizontal="center" vertical="center"/>
    </xf>
    <xf numFmtId="6" fontId="15" fillId="6" borderId="0" xfId="1" applyNumberFormat="1" applyFont="1" applyFill="1" applyAlignment="1">
      <alignment horizontal="center" vertical="center"/>
    </xf>
    <xf numFmtId="6" fontId="15" fillId="6" borderId="0" xfId="1" applyNumberFormat="1" applyFont="1" applyFill="1" applyAlignment="1">
      <alignment horizontal="center" vertical="center" wrapText="1"/>
    </xf>
    <xf numFmtId="0" fontId="0" fillId="3" borderId="20" xfId="0" applyFill="1" applyBorder="1" applyAlignment="1">
      <alignment horizontal="center" vertical="center"/>
    </xf>
    <xf numFmtId="6" fontId="0" fillId="3" borderId="20" xfId="0" applyNumberFormat="1" applyFill="1" applyBorder="1" applyAlignment="1">
      <alignment horizontal="center" vertical="center"/>
    </xf>
    <xf numFmtId="14" fontId="0" fillId="3" borderId="20" xfId="0" applyNumberFormat="1" applyFill="1" applyBorder="1" applyAlignment="1">
      <alignment horizontal="center" vertical="center"/>
    </xf>
    <xf numFmtId="44" fontId="0" fillId="3" borderId="20" xfId="2" applyFont="1" applyFill="1" applyBorder="1" applyAlignment="1">
      <alignment horizontal="center" vertical="center"/>
    </xf>
    <xf numFmtId="0" fontId="0" fillId="11" borderId="0" xfId="0" applyFill="1"/>
    <xf numFmtId="0" fontId="0" fillId="3" borderId="16" xfId="0" applyFill="1" applyBorder="1" applyAlignment="1">
      <alignment horizontal="center" vertical="center"/>
    </xf>
    <xf numFmtId="14" fontId="0" fillId="3" borderId="16" xfId="0" applyNumberFormat="1" applyFill="1" applyBorder="1" applyAlignment="1">
      <alignment horizontal="center" vertical="center"/>
    </xf>
    <xf numFmtId="44" fontId="0" fillId="3" borderId="16" xfId="2" applyFont="1" applyFill="1" applyBorder="1" applyAlignment="1">
      <alignment horizontal="center" vertical="center"/>
    </xf>
    <xf numFmtId="0" fontId="16" fillId="10" borderId="21" xfId="0" applyFont="1" applyFill="1" applyBorder="1" applyAlignment="1">
      <alignment horizontal="center" vertical="center"/>
    </xf>
    <xf numFmtId="14" fontId="16" fillId="10" borderId="22" xfId="0" applyNumberFormat="1" applyFont="1" applyFill="1" applyBorder="1" applyAlignment="1">
      <alignment horizontal="center" vertical="center"/>
    </xf>
    <xf numFmtId="0" fontId="16" fillId="10" borderId="22" xfId="0" applyFont="1" applyFill="1" applyBorder="1" applyAlignment="1">
      <alignment horizontal="center" vertical="center"/>
    </xf>
    <xf numFmtId="0" fontId="17" fillId="3" borderId="6" xfId="0" applyFont="1" applyFill="1" applyBorder="1"/>
    <xf numFmtId="44" fontId="16" fillId="10" borderId="22" xfId="2" applyFont="1" applyFill="1" applyBorder="1" applyAlignment="1">
      <alignment horizontal="center" vertical="center"/>
    </xf>
    <xf numFmtId="44" fontId="0" fillId="3" borderId="0" xfId="2" applyFont="1" applyFill="1" applyBorder="1" applyAlignment="1">
      <alignment horizontal="center" vertical="center"/>
    </xf>
    <xf numFmtId="44" fontId="0" fillId="3" borderId="0" xfId="2" applyFont="1" applyFill="1" applyBorder="1"/>
    <xf numFmtId="0" fontId="15" fillId="6" borderId="0" xfId="1" applyFont="1" applyFill="1" applyAlignment="1">
      <alignment horizontal="center" vertical="center"/>
    </xf>
    <xf numFmtId="44" fontId="15" fillId="3" borderId="20" xfId="1" applyNumberFormat="1" applyFont="1" applyFill="1" applyBorder="1" applyAlignment="1">
      <alignment horizontal="center" vertical="center"/>
    </xf>
    <xf numFmtId="44" fontId="15" fillId="3" borderId="16" xfId="1" applyNumberFormat="1" applyFont="1" applyFill="1" applyBorder="1" applyAlignment="1">
      <alignment horizontal="center" vertical="center"/>
    </xf>
    <xf numFmtId="44" fontId="18" fillId="10" borderId="20" xfId="2" applyFont="1" applyFill="1" applyBorder="1" applyAlignment="1">
      <alignment horizontal="center" vertical="center"/>
    </xf>
    <xf numFmtId="44" fontId="18" fillId="10" borderId="20" xfId="0" applyNumberFormat="1" applyFont="1" applyFill="1" applyBorder="1" applyAlignment="1">
      <alignment horizontal="center" vertical="center"/>
    </xf>
    <xf numFmtId="6" fontId="0" fillId="6" borderId="0" xfId="0" applyNumberFormat="1" applyFill="1" applyAlignment="1">
      <alignment horizontal="center" vertical="center"/>
    </xf>
    <xf numFmtId="6" fontId="0" fillId="6" borderId="0" xfId="0" applyNumberFormat="1" applyFill="1" applyAlignment="1">
      <alignment horizontal="center" vertical="center" wrapText="1"/>
    </xf>
    <xf numFmtId="0" fontId="10" fillId="12" borderId="0" xfId="0" applyFont="1" applyFill="1" applyAlignment="1">
      <alignment horizontal="center" vertical="center"/>
    </xf>
    <xf numFmtId="0" fontId="13" fillId="12" borderId="0" xfId="1" applyFont="1" applyFill="1" applyAlignment="1">
      <alignment horizontal="center" vertical="center"/>
    </xf>
    <xf numFmtId="14" fontId="0" fillId="12" borderId="0" xfId="0" applyNumberFormat="1" applyFill="1" applyAlignment="1">
      <alignment horizontal="center" vertical="center"/>
    </xf>
    <xf numFmtId="0" fontId="0" fillId="12" borderId="0" xfId="0" applyFill="1" applyAlignment="1">
      <alignment horizontal="center" vertical="center"/>
    </xf>
    <xf numFmtId="0" fontId="0" fillId="12" borderId="0" xfId="0" applyFill="1" applyAlignment="1">
      <alignment horizontal="center" vertical="center" wrapText="1"/>
    </xf>
    <xf numFmtId="0" fontId="9" fillId="4" borderId="1" xfId="1" applyFont="1" applyFill="1" applyBorder="1" applyAlignment="1">
      <alignment wrapText="1"/>
    </xf>
    <xf numFmtId="6" fontId="0" fillId="9" borderId="0" xfId="0" applyNumberFormat="1" applyFill="1" applyAlignment="1">
      <alignment horizontal="center" vertical="center"/>
    </xf>
    <xf numFmtId="0" fontId="0" fillId="3" borderId="0" xfId="0" applyFill="1" applyAlignment="1">
      <alignment horizontal="center" vertical="center"/>
    </xf>
    <xf numFmtId="44" fontId="0" fillId="0" borderId="20" xfId="2" applyFont="1" applyFill="1" applyBorder="1"/>
    <xf numFmtId="44" fontId="0" fillId="0" borderId="20" xfId="2" applyFont="1" applyFill="1" applyBorder="1" applyAlignment="1">
      <alignment horizontal="center" vertical="center"/>
    </xf>
    <xf numFmtId="44" fontId="13" fillId="0" borderId="16" xfId="1" applyNumberFormat="1" applyFont="1" applyFill="1" applyBorder="1" applyAlignment="1">
      <alignment horizontal="center" vertical="center"/>
    </xf>
    <xf numFmtId="44" fontId="13" fillId="0" borderId="20" xfId="1" applyNumberFormat="1" applyFont="1" applyFill="1" applyBorder="1" applyAlignment="1">
      <alignment horizontal="center" vertical="center"/>
    </xf>
    <xf numFmtId="44" fontId="0" fillId="0" borderId="20" xfId="0" applyNumberFormat="1"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16" fillId="10" borderId="6" xfId="0" applyFont="1" applyFill="1" applyBorder="1" applyAlignment="1">
      <alignment horizontal="center" vertical="center"/>
    </xf>
    <xf numFmtId="44" fontId="0" fillId="13" borderId="0" xfId="2" applyFont="1" applyFill="1" applyBorder="1" applyAlignment="1">
      <alignment horizontal="center" vertical="center"/>
    </xf>
    <xf numFmtId="0" fontId="0" fillId="13" borderId="0" xfId="0" applyFill="1" applyAlignment="1">
      <alignment horizontal="center" vertical="center"/>
    </xf>
    <xf numFmtId="0" fontId="18" fillId="10" borderId="20" xfId="0" applyFont="1" applyFill="1" applyBorder="1" applyAlignment="1">
      <alignment horizontal="center" vertical="center"/>
    </xf>
    <xf numFmtId="44" fontId="0" fillId="0" borderId="0" xfId="2" applyFont="1" applyFill="1" applyBorder="1" applyAlignment="1">
      <alignment horizontal="center" vertical="center"/>
    </xf>
    <xf numFmtId="0" fontId="16" fillId="10" borderId="16" xfId="0" applyFont="1" applyFill="1" applyBorder="1" applyAlignment="1">
      <alignment horizontal="center" vertical="center"/>
    </xf>
    <xf numFmtId="14" fontId="16" fillId="10" borderId="16" xfId="0" applyNumberFormat="1" applyFont="1" applyFill="1" applyBorder="1" applyAlignment="1">
      <alignment horizontal="center" vertical="center"/>
    </xf>
    <xf numFmtId="44" fontId="16" fillId="10" borderId="16" xfId="2" applyFont="1" applyFill="1" applyBorder="1" applyAlignment="1">
      <alignment horizontal="center" vertical="center"/>
    </xf>
    <xf numFmtId="44" fontId="17" fillId="0" borderId="16" xfId="2" applyFont="1" applyFill="1" applyBorder="1" applyAlignment="1">
      <alignment horizontal="center" vertical="center"/>
    </xf>
    <xf numFmtId="0" fontId="16" fillId="10" borderId="26" xfId="0" applyFont="1" applyFill="1" applyBorder="1" applyAlignment="1">
      <alignment horizontal="center" vertical="center"/>
    </xf>
    <xf numFmtId="14" fontId="16" fillId="10" borderId="25" xfId="0" applyNumberFormat="1" applyFont="1" applyFill="1" applyBorder="1" applyAlignment="1">
      <alignment horizontal="center" vertical="center"/>
    </xf>
    <xf numFmtId="44" fontId="16" fillId="10" borderId="25" xfId="2" applyFont="1" applyFill="1" applyBorder="1" applyAlignment="1">
      <alignment horizontal="center" vertical="center"/>
    </xf>
    <xf numFmtId="0" fontId="17" fillId="3" borderId="11" xfId="0" applyFont="1" applyFill="1" applyBorder="1"/>
    <xf numFmtId="0" fontId="0" fillId="3" borderId="5" xfId="0" applyFill="1" applyBorder="1"/>
    <xf numFmtId="0" fontId="0" fillId="3" borderId="6" xfId="0" applyFill="1" applyBorder="1"/>
    <xf numFmtId="44" fontId="0" fillId="3" borderId="6" xfId="2" applyFont="1" applyFill="1" applyBorder="1"/>
    <xf numFmtId="0" fontId="0" fillId="3" borderId="6" xfId="0" applyFill="1" applyBorder="1" applyAlignment="1">
      <alignment horizontal="center" vertical="center"/>
    </xf>
    <xf numFmtId="44" fontId="0" fillId="3" borderId="6" xfId="2" applyFont="1" applyFill="1" applyBorder="1" applyAlignment="1">
      <alignment horizontal="center" vertical="center"/>
    </xf>
    <xf numFmtId="0" fontId="16" fillId="13" borderId="11" xfId="0" applyFont="1" applyFill="1" applyBorder="1" applyAlignment="1">
      <alignment horizontal="center" vertical="center"/>
    </xf>
    <xf numFmtId="44" fontId="0" fillId="0" borderId="27" xfId="2" applyFont="1" applyFill="1" applyBorder="1"/>
    <xf numFmtId="0" fontId="17" fillId="0" borderId="11" xfId="0" applyFont="1" applyBorder="1" applyAlignment="1">
      <alignment horizontal="center" vertical="center"/>
    </xf>
    <xf numFmtId="44" fontId="13" fillId="0" borderId="23" xfId="1" applyNumberFormat="1" applyFont="1" applyFill="1" applyBorder="1" applyAlignment="1">
      <alignment horizontal="center" vertical="center"/>
    </xf>
    <xf numFmtId="44" fontId="13" fillId="0" borderId="27" xfId="1" applyNumberFormat="1" applyFont="1" applyFill="1" applyBorder="1" applyAlignment="1">
      <alignment horizontal="center" vertical="center"/>
    </xf>
    <xf numFmtId="0" fontId="0" fillId="0" borderId="27" xfId="0" applyBorder="1" applyAlignment="1">
      <alignment horizontal="center" vertical="center"/>
    </xf>
    <xf numFmtId="44" fontId="0" fillId="0" borderId="27" xfId="0" applyNumberFormat="1" applyBorder="1" applyAlignment="1">
      <alignment horizontal="center" vertical="center"/>
    </xf>
    <xf numFmtId="0" fontId="0" fillId="0" borderId="28" xfId="0" applyBorder="1" applyAlignment="1">
      <alignment horizontal="center" vertical="center"/>
    </xf>
    <xf numFmtId="44" fontId="0" fillId="0" borderId="27" xfId="2" applyFont="1" applyFill="1" applyBorder="1" applyAlignment="1">
      <alignment horizontal="center" vertical="center"/>
    </xf>
    <xf numFmtId="0" fontId="17" fillId="0" borderId="25" xfId="0" applyFont="1" applyBorder="1" applyAlignment="1">
      <alignment horizontal="center" vertical="center"/>
    </xf>
    <xf numFmtId="6" fontId="0" fillId="9" borderId="0" xfId="0" applyNumberFormat="1" applyFill="1" applyAlignment="1">
      <alignment horizontal="center" vertical="center" wrapText="1"/>
    </xf>
    <xf numFmtId="6" fontId="0" fillId="12" borderId="0" xfId="0" applyNumberFormat="1" applyFill="1" applyAlignment="1">
      <alignment horizontal="center" vertical="center" wrapText="1"/>
    </xf>
    <xf numFmtId="6" fontId="0" fillId="12" borderId="0" xfId="0" applyNumberFormat="1" applyFill="1" applyAlignment="1">
      <alignment horizontal="center" vertical="center"/>
    </xf>
    <xf numFmtId="0" fontId="15" fillId="9" borderId="0" xfId="1" applyFont="1" applyFill="1" applyAlignment="1">
      <alignment horizontal="center" vertical="center"/>
    </xf>
    <xf numFmtId="3" fontId="0" fillId="9" borderId="0" xfId="0" applyNumberFormat="1" applyFill="1" applyAlignment="1">
      <alignment horizontal="center" vertical="center"/>
    </xf>
    <xf numFmtId="0" fontId="15" fillId="12" borderId="0" xfId="1" applyFont="1" applyFill="1" applyAlignment="1">
      <alignment horizontal="center" vertical="center"/>
    </xf>
    <xf numFmtId="0" fontId="12" fillId="8" borderId="19" xfId="0" applyFont="1" applyFill="1" applyBorder="1" applyAlignment="1">
      <alignment horizontal="center" vertical="center" wrapText="1"/>
    </xf>
    <xf numFmtId="14" fontId="12" fillId="8" borderId="17" xfId="0" applyNumberFormat="1" applyFont="1" applyFill="1" applyBorder="1" applyAlignment="1">
      <alignment horizontal="center" vertical="center"/>
    </xf>
    <xf numFmtId="0" fontId="2" fillId="2" borderId="13" xfId="0" applyFont="1" applyFill="1" applyBorder="1"/>
    <xf numFmtId="0" fontId="9" fillId="2" borderId="0" xfId="1" applyFont="1" applyFill="1" applyBorder="1" applyAlignment="1"/>
    <xf numFmtId="0" fontId="3" fillId="2" borderId="5" xfId="0" applyFont="1" applyFill="1" applyBorder="1" applyAlignment="1">
      <alignment horizontal="center" vertical="center"/>
    </xf>
    <xf numFmtId="0" fontId="2" fillId="2" borderId="8" xfId="0" applyFont="1" applyFill="1" applyBorder="1" applyAlignment="1">
      <alignment wrapText="1"/>
    </xf>
    <xf numFmtId="14" fontId="0" fillId="0" borderId="0" xfId="0" applyNumberFormat="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6" borderId="16" xfId="0" applyFill="1" applyBorder="1" applyAlignment="1">
      <alignment horizontal="center" vertical="center"/>
    </xf>
    <xf numFmtId="6" fontId="0" fillId="6" borderId="20" xfId="0" applyNumberFormat="1" applyFill="1" applyBorder="1" applyAlignment="1">
      <alignment horizontal="center" vertical="center"/>
    </xf>
    <xf numFmtId="0" fontId="0" fillId="6" borderId="20" xfId="0" applyFill="1" applyBorder="1" applyAlignment="1">
      <alignment horizontal="center" vertical="center"/>
    </xf>
    <xf numFmtId="0" fontId="7" fillId="8" borderId="5" xfId="0" applyFont="1" applyFill="1" applyBorder="1" applyAlignment="1">
      <alignment horizontal="center"/>
    </xf>
    <xf numFmtId="0" fontId="7" fillId="8" borderId="6" xfId="0" applyFont="1" applyFill="1" applyBorder="1" applyAlignment="1">
      <alignment horizontal="center"/>
    </xf>
    <xf numFmtId="0" fontId="7" fillId="8" borderId="7"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6" borderId="15" xfId="0" applyFont="1" applyFill="1" applyBorder="1" applyAlignment="1">
      <alignment horizontal="center"/>
    </xf>
    <xf numFmtId="49" fontId="4" fillId="2" borderId="0" xfId="0" quotePrefix="1" applyNumberFormat="1" applyFont="1" applyFill="1" applyAlignment="1">
      <alignment horizontal="center"/>
    </xf>
    <xf numFmtId="49" fontId="4" fillId="2" borderId="0" xfId="0" applyNumberFormat="1" applyFont="1" applyFill="1" applyAlignment="1">
      <alignment horizontal="center"/>
    </xf>
    <xf numFmtId="0" fontId="9" fillId="2" borderId="8" xfId="1" applyFont="1" applyFill="1" applyBorder="1" applyAlignment="1">
      <alignment horizontal="center"/>
    </xf>
    <xf numFmtId="0" fontId="9" fillId="2" borderId="9" xfId="1" applyFont="1" applyFill="1" applyBorder="1" applyAlignment="1">
      <alignment horizontal="center"/>
    </xf>
    <xf numFmtId="0" fontId="9" fillId="2" borderId="0" xfId="1" applyFont="1" applyFill="1" applyBorder="1" applyAlignment="1">
      <alignment horizontal="center"/>
    </xf>
    <xf numFmtId="0" fontId="11" fillId="2" borderId="8" xfId="1" applyFont="1" applyFill="1" applyBorder="1" applyAlignment="1">
      <alignment horizontal="center"/>
    </xf>
    <xf numFmtId="0" fontId="11" fillId="2" borderId="0" xfId="1" applyFont="1" applyFill="1" applyBorder="1" applyAlignment="1">
      <alignment horizontal="center"/>
    </xf>
    <xf numFmtId="0" fontId="11" fillId="2" borderId="9" xfId="1" applyFont="1" applyFill="1" applyBorder="1" applyAlignment="1">
      <alignment horizontal="center"/>
    </xf>
    <xf numFmtId="0" fontId="5" fillId="3" borderId="5" xfId="0" applyFont="1" applyFill="1" applyBorder="1" applyAlignment="1">
      <alignment horizontal="center"/>
    </xf>
    <xf numFmtId="0" fontId="5" fillId="3" borderId="6" xfId="0" applyFont="1" applyFill="1" applyBorder="1" applyAlignment="1">
      <alignment horizontal="center"/>
    </xf>
    <xf numFmtId="0" fontId="5" fillId="3" borderId="7" xfId="0" applyFont="1" applyFill="1" applyBorder="1" applyAlignment="1">
      <alignment horizontal="center"/>
    </xf>
    <xf numFmtId="0" fontId="17" fillId="3" borderId="5" xfId="0" applyFont="1" applyFill="1" applyBorder="1" applyAlignment="1">
      <alignment horizontal="center"/>
    </xf>
    <xf numFmtId="0" fontId="19" fillId="3" borderId="6" xfId="0" applyFont="1" applyFill="1" applyBorder="1" applyAlignment="1">
      <alignment horizontal="center"/>
    </xf>
    <xf numFmtId="0" fontId="19" fillId="3" borderId="7" xfId="0" applyFont="1" applyFill="1" applyBorder="1" applyAlignment="1">
      <alignment horizontal="center"/>
    </xf>
    <xf numFmtId="0" fontId="20" fillId="3" borderId="5" xfId="0" applyFont="1" applyFill="1" applyBorder="1" applyAlignment="1">
      <alignment horizontal="center"/>
    </xf>
    <xf numFmtId="0" fontId="20" fillId="3" borderId="6" xfId="0" applyFont="1" applyFill="1" applyBorder="1" applyAlignment="1">
      <alignment horizontal="center"/>
    </xf>
    <xf numFmtId="0" fontId="20" fillId="3" borderId="7" xfId="0" applyFont="1" applyFill="1" applyBorder="1" applyAlignment="1">
      <alignment horizontal="center"/>
    </xf>
    <xf numFmtId="0" fontId="21" fillId="3" borderId="5" xfId="0" applyFont="1" applyFill="1" applyBorder="1" applyAlignment="1">
      <alignment horizontal="center"/>
    </xf>
    <xf numFmtId="0" fontId="19" fillId="3" borderId="5"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cellXfs>
  <cellStyles count="3">
    <cellStyle name="Currency" xfId="2" builtinId="4"/>
    <cellStyle name="Hyperlink" xfId="1" builtinId="8"/>
    <cellStyle name="Normal" xfId="0" builtinId="0"/>
  </cellStyles>
  <dxfs count="635">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border>
    </dxf>
    <dxf>
      <border outline="0">
        <top style="medium">
          <color indexed="64"/>
        </top>
      </border>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C00000"/>
        </patternFill>
      </fill>
    </dxf>
    <dxf>
      <fill>
        <patternFill>
          <bgColor rgb="FF7030A0"/>
        </patternFill>
      </fill>
    </dxf>
    <dxf>
      <fill>
        <patternFill>
          <bgColor rgb="FFC00000"/>
        </patternFill>
      </fill>
    </dxf>
    <dxf>
      <fill>
        <patternFill>
          <bgColor rgb="FF7030A0"/>
        </patternFill>
      </fill>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border>
    </dxf>
    <dxf>
      <border outline="0">
        <top style="medium">
          <color indexed="64"/>
        </top>
      </border>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C00000"/>
        </patternFill>
      </fill>
    </dxf>
    <dxf>
      <fill>
        <patternFill>
          <bgColor rgb="FF7030A0"/>
        </patternFill>
      </fill>
    </dxf>
    <dxf>
      <fill>
        <patternFill>
          <bgColor rgb="FFC00000"/>
        </patternFill>
      </fill>
    </dxf>
    <dxf>
      <fill>
        <patternFill>
          <bgColor rgb="FF7030A0"/>
        </patternFill>
      </fill>
    </dxf>
    <dxf>
      <font>
        <strike val="0"/>
        <outline val="0"/>
        <shadow val="0"/>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thin">
          <color indexed="64"/>
        </left>
        <right style="thin">
          <color indexed="64"/>
        </right>
        <top style="medium">
          <color indexed="64"/>
        </top>
        <bottom style="thin">
          <color indexed="64"/>
        </bottom>
      </border>
    </dxf>
    <dxf>
      <font>
        <strike val="0"/>
        <outline val="0"/>
        <shadow val="0"/>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vertical style="thin">
          <color indexed="64"/>
        </vertical>
        <horizontal style="thin">
          <color indexed="64"/>
        </horizontal>
      </border>
    </dxf>
    <dxf>
      <border outline="0">
        <top style="medium">
          <color indexed="64"/>
        </top>
      </border>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rgb="FFC00000"/>
        </patternFill>
      </fill>
    </dxf>
    <dxf>
      <fill>
        <patternFill>
          <bgColor rgb="FF7030A0"/>
        </patternFill>
      </fill>
    </dxf>
    <dxf>
      <fill>
        <patternFill>
          <bgColor rgb="FFC00000"/>
        </patternFill>
      </fill>
    </dxf>
    <dxf>
      <fill>
        <patternFill>
          <bgColor rgb="FF7030A0"/>
        </patternFill>
      </fill>
    </dxf>
    <dxf>
      <fill>
        <patternFill>
          <bgColor rgb="FFC00000"/>
        </patternFill>
      </fill>
    </dxf>
    <dxf>
      <fill>
        <patternFill>
          <bgColor rgb="FF7030A0"/>
        </patternFill>
      </fill>
    </dxf>
    <dxf>
      <font>
        <strike val="0"/>
        <outline val="0"/>
        <shadow val="0"/>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thin">
          <color indexed="64"/>
        </left>
        <right style="thin">
          <color indexed="64"/>
        </right>
        <top style="medium">
          <color indexed="64"/>
        </top>
        <bottom style="thin">
          <color indexed="64"/>
        </bottom>
      </border>
    </dxf>
    <dxf>
      <font>
        <strike val="0"/>
        <outline val="0"/>
        <shadow val="0"/>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vertical style="thin">
          <color indexed="64"/>
        </vertical>
        <horizontal style="thin">
          <color indexed="64"/>
        </horizontal>
      </border>
    </dxf>
    <dxf>
      <border outline="0">
        <top style="medium">
          <color indexed="64"/>
        </top>
      </border>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rgb="FFC00000"/>
        </patternFill>
      </fill>
    </dxf>
    <dxf>
      <fill>
        <patternFill>
          <bgColor rgb="FF7030A0"/>
        </patternFill>
      </fill>
    </dxf>
    <dxf>
      <fill>
        <patternFill>
          <bgColor rgb="FFC00000"/>
        </patternFill>
      </fill>
    </dxf>
    <dxf>
      <fill>
        <patternFill>
          <bgColor rgb="FF7030A0"/>
        </patternFill>
      </fill>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border>
    </dxf>
    <dxf>
      <border outline="0">
        <top style="medium">
          <color indexed="64"/>
        </top>
      </border>
    </dxf>
    <dxf>
      <font>
        <strike val="0"/>
        <outline val="0"/>
        <shadow val="0"/>
        <u val="none"/>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vertAlign val="baseline"/>
        <color theme="1"/>
        <name val="Aptos Narrow"/>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vertAlign val="baseline"/>
        <color theme="1"/>
        <name val="Aptos Narrow"/>
        <family val="2"/>
        <scheme val="minor"/>
      </font>
      <fill>
        <patternFill patternType="none">
          <fgColor indexed="64"/>
          <bgColor theme="5" tint="0.79998168889431442"/>
        </patternFill>
      </fill>
    </dxf>
    <dxf>
      <fill>
        <patternFill>
          <bgColor rgb="FFC00000"/>
        </patternFill>
      </fill>
    </dxf>
    <dxf>
      <fill>
        <patternFill>
          <bgColor rgb="FF7030A0"/>
        </patternFill>
      </fill>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numFmt numFmtId="19" formatCode="m/d/yyyy"/>
      <fill>
        <patternFill patternType="solid">
          <fgColor indexed="64"/>
          <bgColor theme="7" tint="0.79998168889431442"/>
        </patternFill>
      </fill>
      <alignment horizontal="center" vertical="center" textRotation="0" wrapText="0" indent="0" justifyLastLine="0" shrinkToFit="0" readingOrder="0"/>
    </dxf>
    <dxf>
      <numFmt numFmtId="19" formatCode="m/d/yyyy"/>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4"/>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C00000"/>
        </patternFill>
      </fill>
    </dxf>
    <dxf>
      <fill>
        <patternFill>
          <bgColor rgb="FF7030A0"/>
        </patternFill>
      </fill>
    </dxf>
    <dxf>
      <fill>
        <patternFill>
          <bgColor rgb="FFC00000"/>
        </patternFill>
      </fill>
    </dxf>
    <dxf>
      <fill>
        <patternFill>
          <bgColor rgb="FF7030A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FF0000"/>
        </patternFill>
      </fill>
    </dxf>
    <dxf>
      <fill>
        <patternFill>
          <bgColor rgb="FFC00000"/>
        </patternFill>
      </fill>
    </dxf>
    <dxf>
      <fill>
        <patternFill>
          <bgColor rgb="FFC00000"/>
        </patternFill>
      </fill>
    </dxf>
    <dxf>
      <fill>
        <patternFill>
          <bgColor rgb="FF7030A0"/>
        </patternFill>
      </fill>
    </dxf>
    <dxf>
      <fill>
        <patternFill>
          <bgColor rgb="FF7030A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bgColor rgb="FFC00000"/>
        </patternFill>
      </fill>
    </dxf>
    <dxf>
      <fill>
        <patternFill>
          <bgColor rgb="FF7030A0"/>
        </patternFill>
      </fill>
    </dxf>
    <dxf>
      <fill>
        <patternFill>
          <bgColor rgb="FF7030A0"/>
        </patternFill>
      </fill>
    </dxf>
    <dxf>
      <fill>
        <patternFill>
          <bgColor rgb="FF7030A0"/>
        </patternFill>
      </fill>
    </dxf>
    <dxf>
      <fill>
        <patternFill>
          <bgColor rgb="FFC00000"/>
        </patternFill>
      </fill>
    </dxf>
    <dxf>
      <font>
        <color theme="0"/>
      </font>
      <fill>
        <patternFill>
          <bgColor rgb="FFFF0000"/>
        </patternFill>
      </fill>
    </dxf>
    <dxf>
      <font>
        <color theme="0"/>
      </font>
      <fill>
        <patternFill>
          <bgColor rgb="FF00B05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ill>
        <patternFill>
          <bgColor rgb="FFC00000"/>
        </patternFill>
      </fill>
    </dxf>
    <dxf>
      <fill>
        <patternFill>
          <bgColor rgb="FF7030A0"/>
        </patternFill>
      </fill>
    </dxf>
    <dxf>
      <font>
        <color theme="0"/>
      </font>
      <fill>
        <patternFill>
          <bgColor rgb="FFFF0000"/>
        </patternFill>
      </fill>
    </dxf>
    <dxf>
      <font>
        <color theme="0"/>
      </font>
      <fill>
        <patternFill>
          <bgColor rgb="FF00B050"/>
        </patternFill>
      </fill>
    </dxf>
    <dxf>
      <font>
        <color theme="0"/>
      </font>
      <fill>
        <patternFill>
          <bgColor rgb="FF7030A0"/>
        </patternFill>
      </fill>
    </dxf>
    <dxf>
      <font>
        <color auto="1"/>
      </font>
      <fill>
        <patternFill>
          <bgColor rgb="FFFFFF00"/>
        </patternFill>
      </fill>
    </dxf>
    <dxf>
      <font>
        <color theme="1"/>
      </font>
      <fill>
        <patternFill>
          <bgColor rgb="FF00B0F0"/>
        </patternFill>
      </fill>
    </dxf>
    <dxf>
      <fill>
        <patternFill>
          <bgColor rgb="FF0070C0"/>
        </patternFill>
      </fill>
    </dxf>
    <dxf>
      <font>
        <color theme="0"/>
      </font>
      <fill>
        <patternFill>
          <bgColor rgb="FF0070C0"/>
        </patternFill>
      </fill>
    </dxf>
    <dxf>
      <font>
        <color theme="0"/>
      </font>
      <fill>
        <patternFill>
          <bgColor rgb="FF92D050"/>
        </patternFill>
      </fill>
    </dxf>
    <dxf>
      <font>
        <color theme="0"/>
      </font>
      <fill>
        <patternFill>
          <bgColor rgb="FF92D050"/>
        </patternFill>
      </fill>
    </dxf>
    <dxf>
      <font>
        <color theme="0"/>
      </font>
      <fill>
        <patternFill>
          <bgColor rgb="FF7030A0"/>
        </patternFill>
      </fill>
    </dxf>
    <dxf>
      <font>
        <color theme="0"/>
      </font>
      <fill>
        <patternFill>
          <bgColor theme="9" tint="-0.499984740745262"/>
        </patternFill>
      </fill>
    </dxf>
    <dxf>
      <font>
        <color theme="0"/>
      </font>
      <fill>
        <patternFill>
          <bgColor theme="5"/>
        </patternFill>
      </fill>
    </dxf>
    <dxf>
      <font>
        <color theme="0"/>
      </font>
      <fill>
        <patternFill>
          <bgColor theme="5"/>
        </patternFill>
      </fill>
    </dxf>
    <dxf>
      <font>
        <color theme="0"/>
      </font>
      <fill>
        <patternFill>
          <bgColor theme="8"/>
        </patternFill>
      </fill>
    </dxf>
    <dxf>
      <font>
        <color auto="1"/>
      </font>
      <fill>
        <patternFill>
          <bgColor rgb="FFFFC000"/>
        </patternFill>
      </fill>
    </dxf>
    <dxf>
      <font>
        <color auto="1"/>
      </font>
      <fill>
        <patternFill>
          <bgColor theme="8" tint="0.79998168889431442"/>
        </patternFill>
      </fill>
    </dxf>
    <dxf>
      <font>
        <color theme="0"/>
      </font>
      <fill>
        <patternFill>
          <bgColor theme="1"/>
        </patternFill>
      </fill>
    </dxf>
    <dxf>
      <font>
        <color theme="0"/>
      </font>
      <fill>
        <patternFill>
          <bgColor theme="1" tint="0.499984740745262"/>
        </patternFill>
      </fill>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bottom/>
        <vertical/>
        <horizontal/>
      </border>
    </dxf>
    <dxf>
      <numFmt numFmtId="19" formatCode="m/d/yyyy"/>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bottom/>
        <vertical/>
        <horizontal/>
      </border>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right style="medium">
          <color indexed="64"/>
        </right>
        <top/>
        <bottom/>
        <vertical/>
        <horizontal/>
      </border>
    </dxf>
    <dxf>
      <numFmt numFmtId="0" formatCode="General"/>
      <alignment horizontal="center" vertical="center" textRotation="0" wrapText="0" indent="0" justifyLastLine="0" shrinkToFit="0" readingOrder="0"/>
    </dxf>
    <dxf>
      <numFmt numFmtId="19" formatCode="m/d/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medium">
          <color indexed="64"/>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FCCE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YTD</a:t>
            </a:r>
            <a:r>
              <a:rPr lang="en-US" baseline="0"/>
              <a:t> Actual costs for Events</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Home!$C$30</c:f>
              <c:strCache>
                <c:ptCount val="1"/>
                <c:pt idx="0">
                  <c:v>Actual Costs</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AF11-4C7D-B114-ADD243502986}"/>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AF11-4C7D-B114-ADD243502986}"/>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AF11-4C7D-B114-ADD243502986}"/>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AF11-4C7D-B114-ADD243502986}"/>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AF11-4C7D-B114-ADD243502986}"/>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1-AF11-4C7D-B114-ADD243502986}"/>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2-AF11-4C7D-B114-ADD243502986}"/>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3-AF11-4C7D-B114-ADD243502986}"/>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4-AF11-4C7D-B114-ADD243502986}"/>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bestFit"/>
              <c:showLegendKey val="0"/>
              <c:showVal val="0"/>
              <c:showCatName val="1"/>
              <c:showSerName val="0"/>
              <c:showPercent val="1"/>
              <c:showBubbleSize val="0"/>
              <c:extLst>
                <c:ext xmlns:c16="http://schemas.microsoft.com/office/drawing/2014/chart" uri="{C3380CC4-5D6E-409C-BE32-E72D297353CC}">
                  <c16:uniqueId val="{00000005-AF11-4C7D-B114-ADD243502986}"/>
                </c:ext>
              </c:extLst>
            </c:dLbl>
            <c:spPr>
              <a:noFill/>
              <a:ln>
                <a:noFill/>
              </a:ln>
              <a:effectLst/>
            </c:sp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Home!$A$31:$A$35</c:f>
              <c:strCache>
                <c:ptCount val="5"/>
                <c:pt idx="0">
                  <c:v>Sante</c:v>
                </c:pt>
                <c:pt idx="1">
                  <c:v>Aleca</c:v>
                </c:pt>
                <c:pt idx="2">
                  <c:v>Alante</c:v>
                </c:pt>
                <c:pt idx="3">
                  <c:v>Encore</c:v>
                </c:pt>
                <c:pt idx="4">
                  <c:v>Alumus</c:v>
                </c:pt>
              </c:strCache>
            </c:strRef>
          </c:cat>
          <c:val>
            <c:numRef>
              <c:f>Home!$C$31:$C$35</c:f>
              <c:numCache>
                <c:formatCode>_("$"* #,##0.00_);_("$"* \(#,##0.00\);_("$"* "-"??_);_(@_)</c:formatCode>
                <c:ptCount val="5"/>
                <c:pt idx="0">
                  <c:v>18885.833333333336</c:v>
                </c:pt>
                <c:pt idx="1">
                  <c:v>13060.833333333334</c:v>
                </c:pt>
                <c:pt idx="2">
                  <c:v>12031.333333333332</c:v>
                </c:pt>
                <c:pt idx="3">
                  <c:v>1300</c:v>
                </c:pt>
                <c:pt idx="4">
                  <c:v>0</c:v>
                </c:pt>
              </c:numCache>
            </c:numRef>
          </c:val>
          <c:extLst>
            <c:ext xmlns:c16="http://schemas.microsoft.com/office/drawing/2014/chart" uri="{C3380CC4-5D6E-409C-BE32-E72D297353CC}">
              <c16:uniqueId val="{00000000-AF11-4C7D-B114-ADD243502986}"/>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YTD Projected vs Actual Spending by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Home!$B$30</c:f>
              <c:strCache>
                <c:ptCount val="1"/>
                <c:pt idx="0">
                  <c:v>Projected Costs</c:v>
                </c:pt>
              </c:strCache>
            </c:strRef>
          </c:tx>
          <c:spPr>
            <a:solidFill>
              <a:schemeClr val="accent1"/>
            </a:solidFill>
            <a:ln>
              <a:noFill/>
            </a:ln>
            <a:effectLst/>
            <a:sp3d/>
          </c:spPr>
          <c:invertIfNegative val="0"/>
          <c:cat>
            <c:strRef>
              <c:f>Home!$A$31:$A$35</c:f>
              <c:strCache>
                <c:ptCount val="5"/>
                <c:pt idx="0">
                  <c:v>Sante</c:v>
                </c:pt>
                <c:pt idx="1">
                  <c:v>Aleca</c:v>
                </c:pt>
                <c:pt idx="2">
                  <c:v>Alante</c:v>
                </c:pt>
                <c:pt idx="3">
                  <c:v>Encore</c:v>
                </c:pt>
                <c:pt idx="4">
                  <c:v>Alumus</c:v>
                </c:pt>
              </c:strCache>
            </c:strRef>
          </c:cat>
          <c:val>
            <c:numRef>
              <c:f>Home!$B$31:$B$35</c:f>
              <c:numCache>
                <c:formatCode>_("$"* #,##0.00_);_("$"* \(#,##0.00\);_("$"* "-"??_);_(@_)</c:formatCode>
                <c:ptCount val="5"/>
                <c:pt idx="0">
                  <c:v>19497.166666666668</c:v>
                </c:pt>
                <c:pt idx="1">
                  <c:v>16748.333333333332</c:v>
                </c:pt>
                <c:pt idx="2">
                  <c:v>18068.833333333332</c:v>
                </c:pt>
                <c:pt idx="3">
                  <c:v>1391.6666666666667</c:v>
                </c:pt>
                <c:pt idx="4">
                  <c:v>0</c:v>
                </c:pt>
              </c:numCache>
            </c:numRef>
          </c:val>
          <c:extLst>
            <c:ext xmlns:c16="http://schemas.microsoft.com/office/drawing/2014/chart" uri="{C3380CC4-5D6E-409C-BE32-E72D297353CC}">
              <c16:uniqueId val="{00000000-8762-461D-9499-31D59CCE78B6}"/>
            </c:ext>
          </c:extLst>
        </c:ser>
        <c:ser>
          <c:idx val="1"/>
          <c:order val="1"/>
          <c:tx>
            <c:strRef>
              <c:f>Home!$C$30</c:f>
              <c:strCache>
                <c:ptCount val="1"/>
                <c:pt idx="0">
                  <c:v>Actual Costs</c:v>
                </c:pt>
              </c:strCache>
            </c:strRef>
          </c:tx>
          <c:spPr>
            <a:solidFill>
              <a:schemeClr val="accent2"/>
            </a:solidFill>
            <a:ln>
              <a:noFill/>
            </a:ln>
            <a:effectLst/>
            <a:sp3d/>
          </c:spPr>
          <c:invertIfNegative val="0"/>
          <c:cat>
            <c:strRef>
              <c:f>Home!$A$31:$A$35</c:f>
              <c:strCache>
                <c:ptCount val="5"/>
                <c:pt idx="0">
                  <c:v>Sante</c:v>
                </c:pt>
                <c:pt idx="1">
                  <c:v>Aleca</c:v>
                </c:pt>
                <c:pt idx="2">
                  <c:v>Alante</c:v>
                </c:pt>
                <c:pt idx="3">
                  <c:v>Encore</c:v>
                </c:pt>
                <c:pt idx="4">
                  <c:v>Alumus</c:v>
                </c:pt>
              </c:strCache>
            </c:strRef>
          </c:cat>
          <c:val>
            <c:numRef>
              <c:f>Home!$C$31:$C$35</c:f>
              <c:numCache>
                <c:formatCode>_("$"* #,##0.00_);_("$"* \(#,##0.00\);_("$"* "-"??_);_(@_)</c:formatCode>
                <c:ptCount val="5"/>
                <c:pt idx="0">
                  <c:v>18885.833333333336</c:v>
                </c:pt>
                <c:pt idx="1">
                  <c:v>13060.833333333334</c:v>
                </c:pt>
                <c:pt idx="2">
                  <c:v>12031.333333333332</c:v>
                </c:pt>
                <c:pt idx="3">
                  <c:v>1300</c:v>
                </c:pt>
                <c:pt idx="4">
                  <c:v>0</c:v>
                </c:pt>
              </c:numCache>
            </c:numRef>
          </c:val>
          <c:extLst>
            <c:ext xmlns:c16="http://schemas.microsoft.com/office/drawing/2014/chart" uri="{C3380CC4-5D6E-409C-BE32-E72D297353CC}">
              <c16:uniqueId val="{00000001-8762-461D-9499-31D59CCE78B6}"/>
            </c:ext>
          </c:extLst>
        </c:ser>
        <c:dLbls>
          <c:showLegendKey val="0"/>
          <c:showVal val="0"/>
          <c:showCatName val="0"/>
          <c:showSerName val="0"/>
          <c:showPercent val="0"/>
          <c:showBubbleSize val="0"/>
        </c:dLbls>
        <c:gapWidth val="150"/>
        <c:shape val="box"/>
        <c:axId val="1968977407"/>
        <c:axId val="1968978847"/>
        <c:axId val="0"/>
      </c:bar3DChart>
      <c:catAx>
        <c:axId val="19689774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978847"/>
        <c:crosses val="autoZero"/>
        <c:auto val="1"/>
        <c:lblAlgn val="ctr"/>
        <c:lblOffset val="100"/>
        <c:noMultiLvlLbl val="0"/>
      </c:catAx>
      <c:valAx>
        <c:axId val="196897884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9774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chart" Target="../charts/chart1.xml"/><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umus!A1"/><Relationship Id="rId2" Type="http://schemas.openxmlformats.org/officeDocument/2006/relationships/hyperlink" Target="#Home!A1"/><Relationship Id="rId16" Type="http://schemas.openxmlformats.org/officeDocument/2006/relationships/hyperlink" Target="#Alante!A1"/><Relationship Id="rId20" Type="http://schemas.openxmlformats.org/officeDocument/2006/relationships/hyperlink" Target="#Aleca!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Sante!A1"/><Relationship Id="rId10" Type="http://schemas.openxmlformats.org/officeDocument/2006/relationships/hyperlink" Target="#September!A1"/><Relationship Id="rId19" Type="http://schemas.openxmlformats.org/officeDocument/2006/relationships/chart" Target="../charts/chart2.xml"/><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2.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3.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4.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5.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6.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7.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8.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9.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10.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11.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12.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13.xml.rels><?xml version="1.0" encoding="UTF-8" standalone="yes"?>
<Relationships xmlns="http://schemas.openxmlformats.org/package/2006/relationships"><Relationship Id="rId8" Type="http://schemas.openxmlformats.org/officeDocument/2006/relationships/hyperlink" Target="#July!A1"/><Relationship Id="rId13" Type="http://schemas.openxmlformats.org/officeDocument/2006/relationships/hyperlink" Target="#December!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June!A1"/><Relationship Id="rId12" Type="http://schemas.openxmlformats.org/officeDocument/2006/relationships/hyperlink" Target="#November!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Sante!A1"/><Relationship Id="rId1" Type="http://schemas.openxmlformats.org/officeDocument/2006/relationships/hyperlink" Target="#January!A1"/><Relationship Id="rId6" Type="http://schemas.openxmlformats.org/officeDocument/2006/relationships/hyperlink" Target="#May!A1"/><Relationship Id="rId11" Type="http://schemas.openxmlformats.org/officeDocument/2006/relationships/hyperlink" Target="#October!A1"/><Relationship Id="rId5" Type="http://schemas.openxmlformats.org/officeDocument/2006/relationships/hyperlink" Target="#April!A1"/><Relationship Id="rId15" Type="http://schemas.openxmlformats.org/officeDocument/2006/relationships/hyperlink" Target="#Aleca!A1"/><Relationship Id="rId10" Type="http://schemas.openxmlformats.org/officeDocument/2006/relationships/hyperlink" Target="#September!A1"/><Relationship Id="rId4" Type="http://schemas.openxmlformats.org/officeDocument/2006/relationships/hyperlink" Target="#March!A1"/><Relationship Id="rId9" Type="http://schemas.openxmlformats.org/officeDocument/2006/relationships/hyperlink" Target="#August!A1"/><Relationship Id="rId14" Type="http://schemas.openxmlformats.org/officeDocument/2006/relationships/hyperlink" Target="#Data!A1"/></Relationships>
</file>

<file path=xl/drawings/_rels/drawing14.xml.rels><?xml version="1.0" encoding="UTF-8" standalone="yes"?>
<Relationships xmlns="http://schemas.openxmlformats.org/package/2006/relationships"><Relationship Id="rId13" Type="http://schemas.openxmlformats.org/officeDocument/2006/relationships/hyperlink" Target="https://oregonhospitals.org/events/save-the-date-2025-annual-member-meeting/" TargetMode="External"/><Relationship Id="rId18" Type="http://schemas.openxmlformats.org/officeDocument/2006/relationships/hyperlink" Target="#May!A1"/><Relationship Id="rId26" Type="http://schemas.openxmlformats.org/officeDocument/2006/relationships/hyperlink" Target="#April!A1"/><Relationship Id="rId39" Type="http://schemas.openxmlformats.org/officeDocument/2006/relationships/hyperlink" Target="https://www.whca.org/convention25/" TargetMode="External"/><Relationship Id="rId21" Type="http://schemas.openxmlformats.org/officeDocument/2006/relationships/hyperlink" Target="#October!A1"/><Relationship Id="rId34" Type="http://schemas.openxmlformats.org/officeDocument/2006/relationships/hyperlink" Target="https://www.supportdignityhealtheastvalley.org/events/george-rozsa-golf-classic" TargetMode="External"/><Relationship Id="rId42" Type="http://schemas.openxmlformats.org/officeDocument/2006/relationships/hyperlink" Target="https://apps.rehabnurse.org/meeting?ProductId=143931881&amp;_gl=1*1x1sefa*_gcl_au*MTA3MjIzMTY0My4xNzQ0MTM0OTY4*_ga*NDU1MzU3ODAxLjE3NDQxMzQ5Njg.*_ga_H7MMCBBJQW*MTc0NDIyMjM4Ni4zLjEuMTc0NDIyMjM4Ni42MC4wLjA." TargetMode="External"/><Relationship Id="rId7" Type="http://schemas.openxmlformats.org/officeDocument/2006/relationships/image" Target="../media/image3.jpeg"/><Relationship Id="rId2" Type="http://schemas.openxmlformats.org/officeDocument/2006/relationships/hyperlink" Target="https://events.acmaweb.org/website/81996/home/#:~:text=Join%20the%20American%20Case%20Management%20Association%20on%20Saturday%2C,care%2C%20this%20is%20the%20perfect%20event%20for%20you." TargetMode="External"/><Relationship Id="rId16" Type="http://schemas.openxmlformats.org/officeDocument/2006/relationships/hyperlink" Target="#January!A1"/><Relationship Id="rId20" Type="http://schemas.openxmlformats.org/officeDocument/2006/relationships/hyperlink" Target="#September!A1"/><Relationship Id="rId29" Type="http://schemas.openxmlformats.org/officeDocument/2006/relationships/hyperlink" Target="#November!A1"/><Relationship Id="rId41" Type="http://schemas.openxmlformats.org/officeDocument/2006/relationships/hyperlink" Target="https://ce.mayo.edu/nursing/content/41st-annual-geriatric-care-2025-cne-nursing-conference" TargetMode="External"/><Relationship Id="rId1" Type="http://schemas.openxmlformats.org/officeDocument/2006/relationships/hyperlink" Target="https://www.thehertelreport.com/save-the-date-2025-winter-state-of-the-state/" TargetMode="External"/><Relationship Id="rId6" Type="http://schemas.openxmlformats.org/officeDocument/2006/relationships/image" Target="../media/image2.jpeg"/><Relationship Id="rId11" Type="http://schemas.openxmlformats.org/officeDocument/2006/relationships/hyperlink" Target="https://cmsaaz.com/meetinginfo.php?id=55&amp;ts=1733942983" TargetMode="External"/><Relationship Id="rId24" Type="http://schemas.openxmlformats.org/officeDocument/2006/relationships/hyperlink" Target="#Home!A1"/><Relationship Id="rId32" Type="http://schemas.openxmlformats.org/officeDocument/2006/relationships/hyperlink" Target="#Sante!A1"/><Relationship Id="rId37" Type="http://schemas.openxmlformats.org/officeDocument/2006/relationships/hyperlink" Target="https://www.ohsu.edu/school-of-medicine/cpd/32nd-annual-internal-medicine-review" TargetMode="External"/><Relationship Id="rId40" Type="http://schemas.openxmlformats.org/officeDocument/2006/relationships/hyperlink" Target="https://www.aanp.org/events/2025-aanp-national-conference" TargetMode="External"/><Relationship Id="rId5" Type="http://schemas.openxmlformats.org/officeDocument/2006/relationships/image" Target="../media/image1.jpeg"/><Relationship Id="rId15" Type="http://schemas.openxmlformats.org/officeDocument/2006/relationships/hyperlink" Target="https://web.cvent.com/event/d2b2d3ed-60ef-4809-9dfd-80900953812d/websitePage:207d30b6-30ce-4145-abc7-2ae0c12a1c27" TargetMode="External"/><Relationship Id="rId23" Type="http://schemas.openxmlformats.org/officeDocument/2006/relationships/hyperlink" Target="#Alante!A1"/><Relationship Id="rId28" Type="http://schemas.openxmlformats.org/officeDocument/2006/relationships/hyperlink" Target="#August!A1"/><Relationship Id="rId36" Type="http://schemas.openxmlformats.org/officeDocument/2006/relationships/hyperlink" Target="https://convention.azhca.org/" TargetMode="External"/><Relationship Id="rId10" Type="http://schemas.openxmlformats.org/officeDocument/2006/relationships/hyperlink" Target="https://www.naacos.com/spring-2025-conference/" TargetMode="External"/><Relationship Id="rId19" Type="http://schemas.openxmlformats.org/officeDocument/2006/relationships/hyperlink" Target="#June!A1"/><Relationship Id="rId31" Type="http://schemas.openxmlformats.org/officeDocument/2006/relationships/hyperlink" Target="#Aleca!A1"/><Relationship Id="rId44" Type="http://schemas.openxmlformats.org/officeDocument/2006/relationships/hyperlink" Target="https://www.bannerhealthfoundation.org/news-information/articles/introducing-the-banner-ball-a-celebration-of-caring-and-cures" TargetMode="External"/><Relationship Id="rId4" Type="http://schemas.openxmlformats.org/officeDocument/2006/relationships/hyperlink" Target="https://www2.heart.org/site/TR?px=26757762&amp;pg=personal&amp;fr_id=11382&amp;s_src=boundlessf" TargetMode="External"/><Relationship Id="rId9" Type="http://schemas.openxmlformats.org/officeDocument/2006/relationships/hyperlink" Target="https://www.naacos.com/spring-2025-conference-registration/" TargetMode="External"/><Relationship Id="rId14" Type="http://schemas.openxmlformats.org/officeDocument/2006/relationships/hyperlink" Target="https://oregongeriatricssociety.org/" TargetMode="External"/><Relationship Id="rId22" Type="http://schemas.openxmlformats.org/officeDocument/2006/relationships/hyperlink" Target="#Data!A1"/><Relationship Id="rId27" Type="http://schemas.openxmlformats.org/officeDocument/2006/relationships/hyperlink" Target="#July!A1"/><Relationship Id="rId30" Type="http://schemas.openxmlformats.org/officeDocument/2006/relationships/hyperlink" Target="#December!A1"/><Relationship Id="rId35" Type="http://schemas.openxmlformats.org/officeDocument/2006/relationships/hyperlink" Target="https://www.azhomecare.org/events/event_details.asp?legacy=1&amp;id=1914371" TargetMode="External"/><Relationship Id="rId43" Type="http://schemas.openxmlformats.org/officeDocument/2006/relationships/hyperlink" Target="https://aahpm.org/education-events/annual-assembly/" TargetMode="External"/><Relationship Id="rId8" Type="http://schemas.openxmlformats.org/officeDocument/2006/relationships/hyperlink" Target="https://www.ahcancal.org/Education-Events/Population-Health-Management-Summit/Pages/default.aspx?j=106948413&amp;sfmc_sub=1882939248&amp;l=1461156_HTML&amp;u=2848311859&amp;mid=524007639&amp;jb=0&amp;utm_source=MarketingCloud&amp;utm_medium=email&amp;utm_campaign=PHMS+Keynote&amp;utm_content=https%3a%2f%2fwww.ahcancal.org%2fEducation-Events%2fPopulation-Health-Management-Summit%2fPages%2fdefault.aspx%3fj%3d%25%25jobid%25%25%26sfmc_sub%3d%25%25SubscriberID%25%25%26l%3d%25%25List_%25%25%26u%3d2848311859%26mid%3d%25%25MemberID%25%25%26jb%3d" TargetMode="External"/><Relationship Id="rId3" Type="http://schemas.openxmlformats.org/officeDocument/2006/relationships/hyperlink" Target="https://events.acmaweb.org/website/73353/" TargetMode="External"/><Relationship Id="rId12" Type="http://schemas.openxmlformats.org/officeDocument/2006/relationships/hyperlink" Target="https://oregonache.org/meetinginfo.php?id=16&amp;ts=1731084526" TargetMode="External"/><Relationship Id="rId17" Type="http://schemas.openxmlformats.org/officeDocument/2006/relationships/hyperlink" Target="#February!A1"/><Relationship Id="rId25" Type="http://schemas.openxmlformats.org/officeDocument/2006/relationships/hyperlink" Target="#March!A1"/><Relationship Id="rId33" Type="http://schemas.openxmlformats.org/officeDocument/2006/relationships/hyperlink" Target="#Alumus!A1"/><Relationship Id="rId38" Type="http://schemas.openxmlformats.org/officeDocument/2006/relationships/hyperlink" Target="https://ohca.users.membersuite.com/events/exhibit-shows/exhibit-details/cb3192d0-00be-cc54-2e3c-0b4764ab386b" TargetMode="External"/></Relationships>
</file>

<file path=xl/drawings/_rels/drawing15.xml.rels><?xml version="1.0" encoding="UTF-8" standalone="yes"?>
<Relationships xmlns="http://schemas.openxmlformats.org/package/2006/relationships"><Relationship Id="rId8" Type="http://schemas.openxmlformats.org/officeDocument/2006/relationships/hyperlink" Target="#October!A1"/><Relationship Id="rId13" Type="http://schemas.openxmlformats.org/officeDocument/2006/relationships/hyperlink" Target="#April!A1"/><Relationship Id="rId18" Type="http://schemas.openxmlformats.org/officeDocument/2006/relationships/hyperlink" Target="#Aleca!A1"/><Relationship Id="rId3" Type="http://schemas.openxmlformats.org/officeDocument/2006/relationships/hyperlink" Target="#January!A1"/><Relationship Id="rId21" Type="http://schemas.openxmlformats.org/officeDocument/2006/relationships/hyperlink" Target="https://seattlenursingresearch.nursingnetwork.com/nursing-events/144316-seattle-nursing-research-consortium-2025#!registration" TargetMode="External"/><Relationship Id="rId7" Type="http://schemas.openxmlformats.org/officeDocument/2006/relationships/hyperlink" Target="#September!A1"/><Relationship Id="rId12" Type="http://schemas.openxmlformats.org/officeDocument/2006/relationships/hyperlink" Target="#March!A1"/><Relationship Id="rId17" Type="http://schemas.openxmlformats.org/officeDocument/2006/relationships/hyperlink" Target="#December!A1"/><Relationship Id="rId2" Type="http://schemas.openxmlformats.org/officeDocument/2006/relationships/hyperlink" Target="https://www.evit.edu/services/events/evit-expo" TargetMode="External"/><Relationship Id="rId16" Type="http://schemas.openxmlformats.org/officeDocument/2006/relationships/hyperlink" Target="#November!A1"/><Relationship Id="rId20" Type="http://schemas.openxmlformats.org/officeDocument/2006/relationships/hyperlink" Target="#Alumus!A1"/><Relationship Id="rId1" Type="http://schemas.openxmlformats.org/officeDocument/2006/relationships/hyperlink" Target="https://www.gatewaycc.edu/" TargetMode="External"/><Relationship Id="rId6" Type="http://schemas.openxmlformats.org/officeDocument/2006/relationships/hyperlink" Target="#June!A1"/><Relationship Id="rId11" Type="http://schemas.openxmlformats.org/officeDocument/2006/relationships/hyperlink" Target="#Home!A1"/><Relationship Id="rId5" Type="http://schemas.openxmlformats.org/officeDocument/2006/relationships/hyperlink" Target="#May!A1"/><Relationship Id="rId15" Type="http://schemas.openxmlformats.org/officeDocument/2006/relationships/hyperlink" Target="#August!A1"/><Relationship Id="rId23" Type="http://schemas.openxmlformats.org/officeDocument/2006/relationships/hyperlink" Target="https://members.aptaoregon.org/event-calendar/Details/2025-annual-spring-conference-1275159?sourceTypeId=Hub" TargetMode="External"/><Relationship Id="rId10" Type="http://schemas.openxmlformats.org/officeDocument/2006/relationships/hyperlink" Target="#Alante!A1"/><Relationship Id="rId19" Type="http://schemas.openxmlformats.org/officeDocument/2006/relationships/hyperlink" Target="#Sante!A1"/><Relationship Id="rId4" Type="http://schemas.openxmlformats.org/officeDocument/2006/relationships/hyperlink" Target="#February!A1"/><Relationship Id="rId9" Type="http://schemas.openxmlformats.org/officeDocument/2006/relationships/hyperlink" Target="#Data!A1"/><Relationship Id="rId14" Type="http://schemas.openxmlformats.org/officeDocument/2006/relationships/hyperlink" Target="#July!A1"/><Relationship Id="rId22" Type="http://schemas.openxmlformats.org/officeDocument/2006/relationships/hyperlink" Target="https://theacenter.arizona.edu/events/health-expo" TargetMode="External"/></Relationships>
</file>

<file path=xl/drawings/_rels/drawing16.xml.rels><?xml version="1.0" encoding="UTF-8" standalone="yes"?>
<Relationships xmlns="http://schemas.openxmlformats.org/package/2006/relationships"><Relationship Id="rId8" Type="http://schemas.openxmlformats.org/officeDocument/2006/relationships/hyperlink" Target="#November!A1"/><Relationship Id="rId13" Type="http://schemas.openxmlformats.org/officeDocument/2006/relationships/hyperlink" Target="#Alante!A1"/><Relationship Id="rId18" Type="http://schemas.openxmlformats.org/officeDocument/2006/relationships/hyperlink" Target="#June!A1"/><Relationship Id="rId3" Type="http://schemas.openxmlformats.org/officeDocument/2006/relationships/hyperlink" Target="#February!A1"/><Relationship Id="rId7" Type="http://schemas.openxmlformats.org/officeDocument/2006/relationships/hyperlink" Target="#October!A1"/><Relationship Id="rId12" Type="http://schemas.openxmlformats.org/officeDocument/2006/relationships/hyperlink" Target="#Sante!A1"/><Relationship Id="rId17" Type="http://schemas.openxmlformats.org/officeDocument/2006/relationships/hyperlink" Target="#May!A1"/><Relationship Id="rId2" Type="http://schemas.openxmlformats.org/officeDocument/2006/relationships/hyperlink" Target="#Home!A1"/><Relationship Id="rId16" Type="http://schemas.openxmlformats.org/officeDocument/2006/relationships/hyperlink" Target="#April!A1"/><Relationship Id="rId1" Type="http://schemas.openxmlformats.org/officeDocument/2006/relationships/hyperlink" Target="#January!A1"/><Relationship Id="rId6" Type="http://schemas.openxmlformats.org/officeDocument/2006/relationships/hyperlink" Target="#September!A1"/><Relationship Id="rId11" Type="http://schemas.openxmlformats.org/officeDocument/2006/relationships/hyperlink" Target="#Aleca!A1"/><Relationship Id="rId5" Type="http://schemas.openxmlformats.org/officeDocument/2006/relationships/hyperlink" Target="#August!A1"/><Relationship Id="rId15" Type="http://schemas.openxmlformats.org/officeDocument/2006/relationships/hyperlink" Target="#March!A1"/><Relationship Id="rId10" Type="http://schemas.openxmlformats.org/officeDocument/2006/relationships/hyperlink" Target="#Data!A1"/><Relationship Id="rId4" Type="http://schemas.openxmlformats.org/officeDocument/2006/relationships/hyperlink" Target="#July!A1"/><Relationship Id="rId9" Type="http://schemas.openxmlformats.org/officeDocument/2006/relationships/hyperlink" Target="#December!A1"/><Relationship Id="rId14" Type="http://schemas.openxmlformats.org/officeDocument/2006/relationships/hyperlink" Target="#Alumus!A1"/></Relationships>
</file>

<file path=xl/drawings/_rels/drawing17.xml.rels><?xml version="1.0" encoding="UTF-8" standalone="yes"?>
<Relationships xmlns="http://schemas.openxmlformats.org/package/2006/relationships"><Relationship Id="rId8" Type="http://schemas.openxmlformats.org/officeDocument/2006/relationships/hyperlink" Target="#November!A1"/><Relationship Id="rId13" Type="http://schemas.openxmlformats.org/officeDocument/2006/relationships/hyperlink" Target="#March!A1"/><Relationship Id="rId18" Type="http://schemas.openxmlformats.org/officeDocument/2006/relationships/hyperlink" Target="#Alumus!A1"/><Relationship Id="rId3" Type="http://schemas.openxmlformats.org/officeDocument/2006/relationships/hyperlink" Target="#February!A1"/><Relationship Id="rId7" Type="http://schemas.openxmlformats.org/officeDocument/2006/relationships/hyperlink" Target="#October!A1"/><Relationship Id="rId12" Type="http://schemas.openxmlformats.org/officeDocument/2006/relationships/hyperlink" Target="#Sante!A1"/><Relationship Id="rId17" Type="http://schemas.openxmlformats.org/officeDocument/2006/relationships/hyperlink" Target="#Alante!A1"/><Relationship Id="rId2" Type="http://schemas.openxmlformats.org/officeDocument/2006/relationships/hyperlink" Target="#Home!A1"/><Relationship Id="rId16" Type="http://schemas.openxmlformats.org/officeDocument/2006/relationships/hyperlink" Target="#June!A1"/><Relationship Id="rId1" Type="http://schemas.openxmlformats.org/officeDocument/2006/relationships/hyperlink" Target="#January!A1"/><Relationship Id="rId6" Type="http://schemas.openxmlformats.org/officeDocument/2006/relationships/hyperlink" Target="#September!A1"/><Relationship Id="rId11" Type="http://schemas.openxmlformats.org/officeDocument/2006/relationships/hyperlink" Target="#Aleca!A1"/><Relationship Id="rId5" Type="http://schemas.openxmlformats.org/officeDocument/2006/relationships/hyperlink" Target="#August!A1"/><Relationship Id="rId15" Type="http://schemas.openxmlformats.org/officeDocument/2006/relationships/hyperlink" Target="#May!A1"/><Relationship Id="rId10" Type="http://schemas.openxmlformats.org/officeDocument/2006/relationships/hyperlink" Target="#Data!A1"/><Relationship Id="rId4" Type="http://schemas.openxmlformats.org/officeDocument/2006/relationships/hyperlink" Target="#July!A1"/><Relationship Id="rId9" Type="http://schemas.openxmlformats.org/officeDocument/2006/relationships/hyperlink" Target="#December!A1"/><Relationship Id="rId14" Type="http://schemas.openxmlformats.org/officeDocument/2006/relationships/hyperlink" Target="#April!A1"/></Relationships>
</file>

<file path=xl/drawings/_rels/drawing18.xml.rels><?xml version="1.0" encoding="UTF-8" standalone="yes"?>
<Relationships xmlns="http://schemas.openxmlformats.org/package/2006/relationships"><Relationship Id="rId8" Type="http://schemas.openxmlformats.org/officeDocument/2006/relationships/hyperlink" Target="#November!A1"/><Relationship Id="rId13" Type="http://schemas.openxmlformats.org/officeDocument/2006/relationships/hyperlink" Target="#Alumus!A1"/><Relationship Id="rId18" Type="http://schemas.openxmlformats.org/officeDocument/2006/relationships/hyperlink" Target="#Aleca!A1"/><Relationship Id="rId3" Type="http://schemas.openxmlformats.org/officeDocument/2006/relationships/hyperlink" Target="#February!A1"/><Relationship Id="rId7" Type="http://schemas.openxmlformats.org/officeDocument/2006/relationships/hyperlink" Target="#October!A1"/><Relationship Id="rId12" Type="http://schemas.openxmlformats.org/officeDocument/2006/relationships/hyperlink" Target="#Alante!A1"/><Relationship Id="rId17" Type="http://schemas.openxmlformats.org/officeDocument/2006/relationships/hyperlink" Target="#June!A1"/><Relationship Id="rId2" Type="http://schemas.openxmlformats.org/officeDocument/2006/relationships/hyperlink" Target="#Home!A1"/><Relationship Id="rId16" Type="http://schemas.openxmlformats.org/officeDocument/2006/relationships/hyperlink" Target="#May!A1"/><Relationship Id="rId1" Type="http://schemas.openxmlformats.org/officeDocument/2006/relationships/hyperlink" Target="#January!A1"/><Relationship Id="rId6" Type="http://schemas.openxmlformats.org/officeDocument/2006/relationships/hyperlink" Target="#September!A1"/><Relationship Id="rId11" Type="http://schemas.openxmlformats.org/officeDocument/2006/relationships/hyperlink" Target="#Sante!A1"/><Relationship Id="rId5" Type="http://schemas.openxmlformats.org/officeDocument/2006/relationships/hyperlink" Target="#August!A1"/><Relationship Id="rId15" Type="http://schemas.openxmlformats.org/officeDocument/2006/relationships/hyperlink" Target="#April!A1"/><Relationship Id="rId10" Type="http://schemas.openxmlformats.org/officeDocument/2006/relationships/hyperlink" Target="#Data!A1"/><Relationship Id="rId4" Type="http://schemas.openxmlformats.org/officeDocument/2006/relationships/hyperlink" Target="#July!A1"/><Relationship Id="rId9" Type="http://schemas.openxmlformats.org/officeDocument/2006/relationships/hyperlink" Target="#December!A1"/><Relationship Id="rId14" Type="http://schemas.openxmlformats.org/officeDocument/2006/relationships/hyperlink" Target="#March!A1"/></Relationships>
</file>

<file path=xl/drawings/_rels/drawing19.xml.rels><?xml version="1.0" encoding="UTF-8" standalone="yes"?>
<Relationships xmlns="http://schemas.openxmlformats.org/package/2006/relationships"><Relationship Id="rId8" Type="http://schemas.openxmlformats.org/officeDocument/2006/relationships/hyperlink" Target="#November!A1"/><Relationship Id="rId13" Type="http://schemas.openxmlformats.org/officeDocument/2006/relationships/hyperlink" Target="#Alante!A1"/><Relationship Id="rId18" Type="http://schemas.openxmlformats.org/officeDocument/2006/relationships/hyperlink" Target="#June!A1"/><Relationship Id="rId3" Type="http://schemas.openxmlformats.org/officeDocument/2006/relationships/hyperlink" Target="#February!A1"/><Relationship Id="rId7" Type="http://schemas.openxmlformats.org/officeDocument/2006/relationships/hyperlink" Target="#October!A1"/><Relationship Id="rId12" Type="http://schemas.openxmlformats.org/officeDocument/2006/relationships/hyperlink" Target="#Sante!A1"/><Relationship Id="rId17" Type="http://schemas.openxmlformats.org/officeDocument/2006/relationships/hyperlink" Target="#May!A1"/><Relationship Id="rId2" Type="http://schemas.openxmlformats.org/officeDocument/2006/relationships/hyperlink" Target="#Home!A1"/><Relationship Id="rId16" Type="http://schemas.openxmlformats.org/officeDocument/2006/relationships/hyperlink" Target="#April!A1"/><Relationship Id="rId1" Type="http://schemas.openxmlformats.org/officeDocument/2006/relationships/hyperlink" Target="#January!A1"/><Relationship Id="rId6" Type="http://schemas.openxmlformats.org/officeDocument/2006/relationships/hyperlink" Target="#September!A1"/><Relationship Id="rId11" Type="http://schemas.openxmlformats.org/officeDocument/2006/relationships/hyperlink" Target="#Aleca!A1"/><Relationship Id="rId5" Type="http://schemas.openxmlformats.org/officeDocument/2006/relationships/hyperlink" Target="#August!A1"/><Relationship Id="rId15" Type="http://schemas.openxmlformats.org/officeDocument/2006/relationships/hyperlink" Target="#March!A1"/><Relationship Id="rId10" Type="http://schemas.openxmlformats.org/officeDocument/2006/relationships/hyperlink" Target="#Data!A1"/><Relationship Id="rId4" Type="http://schemas.openxmlformats.org/officeDocument/2006/relationships/hyperlink" Target="#July!A1"/><Relationship Id="rId9" Type="http://schemas.openxmlformats.org/officeDocument/2006/relationships/hyperlink" Target="#December!A1"/><Relationship Id="rId14" Type="http://schemas.openxmlformats.org/officeDocument/2006/relationships/hyperlink" Target="#Alumus!A1"/></Relationships>
</file>

<file path=xl/drawings/_rels/drawing20.xml.rels><?xml version="1.0" encoding="UTF-8" standalone="yes"?>
<Relationships xmlns="http://schemas.openxmlformats.org/package/2006/relationships"><Relationship Id="rId8" Type="http://schemas.openxmlformats.org/officeDocument/2006/relationships/hyperlink" Target="#November!A1"/><Relationship Id="rId13" Type="http://schemas.openxmlformats.org/officeDocument/2006/relationships/hyperlink" Target="#Alante!A1"/><Relationship Id="rId18" Type="http://schemas.openxmlformats.org/officeDocument/2006/relationships/hyperlink" Target="#June!A1"/><Relationship Id="rId3" Type="http://schemas.openxmlformats.org/officeDocument/2006/relationships/hyperlink" Target="#February!A1"/><Relationship Id="rId7" Type="http://schemas.openxmlformats.org/officeDocument/2006/relationships/hyperlink" Target="#October!A1"/><Relationship Id="rId12" Type="http://schemas.openxmlformats.org/officeDocument/2006/relationships/hyperlink" Target="#Sante!A1"/><Relationship Id="rId17" Type="http://schemas.openxmlformats.org/officeDocument/2006/relationships/hyperlink" Target="#May!A1"/><Relationship Id="rId2" Type="http://schemas.openxmlformats.org/officeDocument/2006/relationships/hyperlink" Target="#Home!A1"/><Relationship Id="rId16" Type="http://schemas.openxmlformats.org/officeDocument/2006/relationships/hyperlink" Target="#April!A1"/><Relationship Id="rId1" Type="http://schemas.openxmlformats.org/officeDocument/2006/relationships/hyperlink" Target="#January!A1"/><Relationship Id="rId6" Type="http://schemas.openxmlformats.org/officeDocument/2006/relationships/hyperlink" Target="#September!A1"/><Relationship Id="rId11" Type="http://schemas.openxmlformats.org/officeDocument/2006/relationships/hyperlink" Target="#Aleca!A1"/><Relationship Id="rId5" Type="http://schemas.openxmlformats.org/officeDocument/2006/relationships/hyperlink" Target="#August!A1"/><Relationship Id="rId15" Type="http://schemas.openxmlformats.org/officeDocument/2006/relationships/hyperlink" Target="#March!A1"/><Relationship Id="rId10" Type="http://schemas.openxmlformats.org/officeDocument/2006/relationships/hyperlink" Target="#Data!A1"/><Relationship Id="rId4" Type="http://schemas.openxmlformats.org/officeDocument/2006/relationships/hyperlink" Target="#July!A1"/><Relationship Id="rId9" Type="http://schemas.openxmlformats.org/officeDocument/2006/relationships/hyperlink" Target="#December!A1"/><Relationship Id="rId14" Type="http://schemas.openxmlformats.org/officeDocument/2006/relationships/hyperlink" Target="#Alumus!A1"/></Relationships>
</file>

<file path=xl/drawings/drawing1.xml><?xml version="1.0" encoding="utf-8"?>
<xdr:wsDr xmlns:xdr="http://schemas.openxmlformats.org/drawingml/2006/spreadsheetDrawing" xmlns:a="http://schemas.openxmlformats.org/drawingml/2006/main">
  <xdr:twoCellAnchor>
    <xdr:from>
      <xdr:col>0</xdr:col>
      <xdr:colOff>714376</xdr:colOff>
      <xdr:row>0</xdr:row>
      <xdr:rowOff>95250</xdr:rowOff>
    </xdr:from>
    <xdr:to>
      <xdr:col>1</xdr:col>
      <xdr:colOff>123826</xdr:colOff>
      <xdr:row>0</xdr:row>
      <xdr:rowOff>371475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A486A0F-B324-4DB3-865C-069233ED206E}"/>
            </a:ext>
          </a:extLst>
        </xdr:cNvPr>
        <xdr:cNvSpPr/>
      </xdr:nvSpPr>
      <xdr:spPr>
        <a:xfrm>
          <a:off x="714376" y="95250"/>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666750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33B5BA84-36FF-45B2-8E74-17BCDD350EED}"/>
            </a:ext>
          </a:extLst>
        </xdr:cNvPr>
        <xdr:cNvSpPr/>
      </xdr:nvSpPr>
      <xdr:spPr>
        <a:xfrm>
          <a:off x="95251" y="66675"/>
          <a:ext cx="57149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1</xdr:col>
      <xdr:colOff>180975</xdr:colOff>
      <xdr:row>0</xdr:row>
      <xdr:rowOff>104775</xdr:rowOff>
    </xdr:from>
    <xdr:to>
      <xdr:col>1</xdr:col>
      <xdr:colOff>609600</xdr:colOff>
      <xdr:row>0</xdr:row>
      <xdr:rowOff>381000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D0BA43CD-5022-4C06-AE58-C0A99D3B6648}"/>
            </a:ext>
          </a:extLst>
        </xdr:cNvPr>
        <xdr:cNvSpPr/>
      </xdr:nvSpPr>
      <xdr:spPr>
        <a:xfrm>
          <a:off x="1171575"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1</xdr:col>
      <xdr:colOff>647700</xdr:colOff>
      <xdr:row>0</xdr:row>
      <xdr:rowOff>104775</xdr:rowOff>
    </xdr:from>
    <xdr:to>
      <xdr:col>1</xdr:col>
      <xdr:colOff>1076325</xdr:colOff>
      <xdr:row>0</xdr:row>
      <xdr:rowOff>381000</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30067B88-283A-4978-A486-9808CBFD4ED1}"/>
            </a:ext>
          </a:extLst>
        </xdr:cNvPr>
        <xdr:cNvSpPr/>
      </xdr:nvSpPr>
      <xdr:spPr>
        <a:xfrm>
          <a:off x="16383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1123950</xdr:colOff>
      <xdr:row>0</xdr:row>
      <xdr:rowOff>104775</xdr:rowOff>
    </xdr:from>
    <xdr:to>
      <xdr:col>2</xdr:col>
      <xdr:colOff>209550</xdr:colOff>
      <xdr:row>0</xdr:row>
      <xdr:rowOff>381000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B70EEC89-0E29-4110-9F6B-E5C1F4F0E108}"/>
            </a:ext>
          </a:extLst>
        </xdr:cNvPr>
        <xdr:cNvSpPr/>
      </xdr:nvSpPr>
      <xdr:spPr>
        <a:xfrm>
          <a:off x="2219325"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2</xdr:col>
      <xdr:colOff>247650</xdr:colOff>
      <xdr:row>0</xdr:row>
      <xdr:rowOff>104775</xdr:rowOff>
    </xdr:from>
    <xdr:to>
      <xdr:col>2</xdr:col>
      <xdr:colOff>752475</xdr:colOff>
      <xdr:row>0</xdr:row>
      <xdr:rowOff>381000</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FCFA2894-1994-4BCE-938E-C03B1A9B224C}"/>
            </a:ext>
          </a:extLst>
        </xdr:cNvPr>
        <xdr:cNvSpPr/>
      </xdr:nvSpPr>
      <xdr:spPr>
        <a:xfrm>
          <a:off x="2686050" y="104775"/>
          <a:ext cx="5048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2</xdr:col>
      <xdr:colOff>781050</xdr:colOff>
      <xdr:row>0</xdr:row>
      <xdr:rowOff>95250</xdr:rowOff>
    </xdr:from>
    <xdr:to>
      <xdr:col>3</xdr:col>
      <xdr:colOff>85725</xdr:colOff>
      <xdr:row>0</xdr:row>
      <xdr:rowOff>371475</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666549F3-7C8C-44CD-A610-ED1A120A6C3A}"/>
            </a:ext>
          </a:extLst>
        </xdr:cNvPr>
        <xdr:cNvSpPr/>
      </xdr:nvSpPr>
      <xdr:spPr>
        <a:xfrm>
          <a:off x="3219450"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3</xdr:col>
      <xdr:colOff>133350</xdr:colOff>
      <xdr:row>0</xdr:row>
      <xdr:rowOff>104775</xdr:rowOff>
    </xdr:from>
    <xdr:to>
      <xdr:col>3</xdr:col>
      <xdr:colOff>561975</xdr:colOff>
      <xdr:row>0</xdr:row>
      <xdr:rowOff>381000</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D0FC797F-D7B0-4A52-B74C-32F168A8F96A}"/>
            </a:ext>
          </a:extLst>
        </xdr:cNvPr>
        <xdr:cNvSpPr/>
      </xdr:nvSpPr>
      <xdr:spPr>
        <a:xfrm>
          <a:off x="36957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4</xdr:col>
      <xdr:colOff>0</xdr:colOff>
      <xdr:row>0</xdr:row>
      <xdr:rowOff>104775</xdr:rowOff>
    </xdr:from>
    <xdr:to>
      <xdr:col>4</xdr:col>
      <xdr:colOff>428625</xdr:colOff>
      <xdr:row>0</xdr:row>
      <xdr:rowOff>381000</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DC45CF7F-EA5D-4396-8E22-11F6FB0C9A04}"/>
            </a:ext>
          </a:extLst>
        </xdr:cNvPr>
        <xdr:cNvSpPr/>
      </xdr:nvSpPr>
      <xdr:spPr>
        <a:xfrm>
          <a:off x="417195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4</xdr:col>
      <xdr:colOff>485775</xdr:colOff>
      <xdr:row>0</xdr:row>
      <xdr:rowOff>95250</xdr:rowOff>
    </xdr:from>
    <xdr:to>
      <xdr:col>5</xdr:col>
      <xdr:colOff>304800</xdr:colOff>
      <xdr:row>0</xdr:row>
      <xdr:rowOff>371475</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5410D4DA-2CE8-49A5-B7FD-AF04F4A5687E}"/>
            </a:ext>
          </a:extLst>
        </xdr:cNvPr>
        <xdr:cNvSpPr/>
      </xdr:nvSpPr>
      <xdr:spPr>
        <a:xfrm>
          <a:off x="465772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5</xdr:col>
      <xdr:colOff>342900</xdr:colOff>
      <xdr:row>0</xdr:row>
      <xdr:rowOff>104775</xdr:rowOff>
    </xdr:from>
    <xdr:to>
      <xdr:col>6</xdr:col>
      <xdr:colOff>200025</xdr:colOff>
      <xdr:row>0</xdr:row>
      <xdr:rowOff>390525</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BC6E9CF8-258D-4DC5-9E2B-4008F9E2D01D}"/>
            </a:ext>
          </a:extLst>
        </xdr:cNvPr>
        <xdr:cNvSpPr/>
      </xdr:nvSpPr>
      <xdr:spPr>
        <a:xfrm>
          <a:off x="5124450" y="104775"/>
          <a:ext cx="4667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6</xdr:col>
      <xdr:colOff>247650</xdr:colOff>
      <xdr:row>0</xdr:row>
      <xdr:rowOff>114300</xdr:rowOff>
    </xdr:from>
    <xdr:to>
      <xdr:col>7</xdr:col>
      <xdr:colOff>95250</xdr:colOff>
      <xdr:row>0</xdr:row>
      <xdr:rowOff>390525</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CC61A45B-3D61-4193-86E2-83956C27F414}"/>
            </a:ext>
          </a:extLst>
        </xdr:cNvPr>
        <xdr:cNvSpPr/>
      </xdr:nvSpPr>
      <xdr:spPr>
        <a:xfrm>
          <a:off x="5638800" y="11430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7</xdr:col>
      <xdr:colOff>133350</xdr:colOff>
      <xdr:row>0</xdr:row>
      <xdr:rowOff>114300</xdr:rowOff>
    </xdr:from>
    <xdr:to>
      <xdr:col>7</xdr:col>
      <xdr:colOff>647700</xdr:colOff>
      <xdr:row>0</xdr:row>
      <xdr:rowOff>390525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4CA19E90-4EA7-479A-B58C-E010C4C0A6B0}"/>
            </a:ext>
          </a:extLst>
        </xdr:cNvPr>
        <xdr:cNvSpPr/>
      </xdr:nvSpPr>
      <xdr:spPr>
        <a:xfrm>
          <a:off x="6134100" y="114300"/>
          <a:ext cx="5143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7</xdr:col>
      <xdr:colOff>695325</xdr:colOff>
      <xdr:row>0</xdr:row>
      <xdr:rowOff>114300</xdr:rowOff>
    </xdr:from>
    <xdr:to>
      <xdr:col>7</xdr:col>
      <xdr:colOff>1390650</xdr:colOff>
      <xdr:row>0</xdr:row>
      <xdr:rowOff>390525</xdr:rowOff>
    </xdr:to>
    <xdr:sp macro="" textlink="">
      <xdr:nvSpPr>
        <xdr:cNvPr id="17" name="Rectangle: Rounded Corners 16">
          <a:hlinkClick xmlns:r="http://schemas.openxmlformats.org/officeDocument/2006/relationships" r:id="rId14"/>
          <a:extLst>
            <a:ext uri="{FF2B5EF4-FFF2-40B4-BE49-F238E27FC236}">
              <a16:creationId xmlns:a16="http://schemas.microsoft.com/office/drawing/2014/main" id="{A72AC884-C5A4-4D94-BE82-E586D948A228}"/>
            </a:ext>
          </a:extLst>
        </xdr:cNvPr>
        <xdr:cNvSpPr/>
      </xdr:nvSpPr>
      <xdr:spPr>
        <a:xfrm>
          <a:off x="6696075" y="114300"/>
          <a:ext cx="69532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0</xdr:col>
      <xdr:colOff>76200</xdr:colOff>
      <xdr:row>3</xdr:row>
      <xdr:rowOff>76199</xdr:rowOff>
    </xdr:from>
    <xdr:to>
      <xdr:col>5</xdr:col>
      <xdr:colOff>561975</xdr:colOff>
      <xdr:row>27</xdr:row>
      <xdr:rowOff>28575</xdr:rowOff>
    </xdr:to>
    <xdr:sp macro="" textlink="">
      <xdr:nvSpPr>
        <xdr:cNvPr id="18" name="Rectangle 17">
          <a:extLst>
            <a:ext uri="{FF2B5EF4-FFF2-40B4-BE49-F238E27FC236}">
              <a16:creationId xmlns:a16="http://schemas.microsoft.com/office/drawing/2014/main" id="{27B9524C-9627-A37E-E89F-5A85ABF33CD0}"/>
            </a:ext>
          </a:extLst>
        </xdr:cNvPr>
        <xdr:cNvSpPr/>
      </xdr:nvSpPr>
      <xdr:spPr>
        <a:xfrm>
          <a:off x="76200" y="885824"/>
          <a:ext cx="5267325" cy="46482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SANTE</a:t>
          </a:r>
          <a:r>
            <a:rPr lang="en-US" sz="1100"/>
            <a:t>:</a:t>
          </a:r>
        </a:p>
        <a:p>
          <a:pPr algn="l"/>
          <a:endParaRPr lang="en-US" sz="1100"/>
        </a:p>
        <a:p>
          <a:pPr algn="l"/>
          <a:r>
            <a:rPr lang="en-US" sz="1100" b="1"/>
            <a:t>North</a:t>
          </a:r>
          <a:r>
            <a:rPr lang="en-US" sz="1100" b="1" baseline="0"/>
            <a:t> Scottsdale:</a:t>
          </a:r>
        </a:p>
        <a:p>
          <a:pPr algn="l"/>
          <a:r>
            <a:rPr lang="en-US" sz="1100" baseline="0"/>
            <a:t>Stephen Medeiros (Administrator) Stephen.Medeiros@santecares.com</a:t>
          </a:r>
        </a:p>
        <a:p>
          <a:pPr algn="l"/>
          <a:endParaRPr lang="en-US" sz="1100" baseline="0"/>
        </a:p>
        <a:p>
          <a:pPr algn="l"/>
          <a:r>
            <a:rPr lang="en-US" sz="1100" b="1" baseline="0"/>
            <a:t>Mesa: </a:t>
          </a:r>
        </a:p>
        <a:p>
          <a:pPr algn="l"/>
          <a:r>
            <a:rPr lang="en-US" sz="1100" baseline="0"/>
            <a:t>Jonique Housley-Castaneda (Administrator) Jonique.castaneda@santecares.com</a:t>
          </a:r>
        </a:p>
        <a:p>
          <a:pPr algn="l"/>
          <a:endParaRPr lang="en-US" sz="1100" baseline="0"/>
        </a:p>
        <a:p>
          <a:pPr algn="l"/>
          <a:r>
            <a:rPr lang="en-US" sz="1100" b="1" baseline="0"/>
            <a:t>Chandler: </a:t>
          </a:r>
        </a:p>
        <a:p>
          <a:pPr algn="l"/>
          <a:r>
            <a:rPr lang="en-US" sz="1100" baseline="0">
              <a:solidFill>
                <a:schemeClr val="accent5">
                  <a:lumMod val="20000"/>
                  <a:lumOff val="80000"/>
                </a:schemeClr>
              </a:solidFill>
            </a:rPr>
            <a:t>Joanna Tumbleson (Business Office / HR) Joanna.Tumbleson@santecares.com</a:t>
          </a:r>
        </a:p>
        <a:p>
          <a:pPr algn="l"/>
          <a:r>
            <a:rPr lang="en-US" sz="1100" baseline="0"/>
            <a:t>Mario Hernandez (administrator) Mario.Hernandez@santecares.com</a:t>
          </a:r>
        </a:p>
        <a:p>
          <a:pPr algn="l"/>
          <a:endParaRPr lang="en-US" sz="1100" baseline="0"/>
        </a:p>
        <a:p>
          <a:pPr algn="l"/>
          <a:r>
            <a:rPr lang="en-US" sz="1100" b="1" baseline="0"/>
            <a:t>Surprise: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accent5">
                  <a:lumMod val="20000"/>
                  <a:lumOff val="80000"/>
                </a:schemeClr>
              </a:solidFill>
              <a:effectLst/>
              <a:latin typeface="+mn-lt"/>
              <a:ea typeface="+mn-ea"/>
              <a:cs typeface="+mn-cs"/>
            </a:rPr>
            <a:t>Sabrina Feliz (Business Office Manager/HR) Sabrina.Feliz@santecares.com</a:t>
          </a:r>
          <a:endParaRPr lang="en-US" sz="1100" baseline="0">
            <a:solidFill>
              <a:schemeClr val="accent5">
                <a:lumMod val="20000"/>
                <a:lumOff val="80000"/>
              </a:schemeClr>
            </a:solidFill>
          </a:endParaRPr>
        </a:p>
        <a:p>
          <a:pPr algn="l"/>
          <a:r>
            <a:rPr lang="en-US" sz="1100" baseline="0"/>
            <a:t>Ty LeRoy (Administrator) Ty.LeRoy@santecares.com</a:t>
          </a:r>
        </a:p>
        <a:p>
          <a:pPr algn="l"/>
          <a:endParaRPr lang="en-US" sz="1100" baseline="0"/>
        </a:p>
        <a:p>
          <a:pPr algn="ctr"/>
          <a:r>
            <a:rPr lang="en-US" sz="1100" b="1" baseline="0"/>
            <a:t>MKT / Development Events: </a:t>
          </a:r>
          <a:endParaRPr lang="en-US" sz="1100" baseline="0"/>
        </a:p>
        <a:p>
          <a:pPr algn="l"/>
          <a:r>
            <a:rPr lang="en-US" sz="1100" baseline="0"/>
            <a:t>Kerri Cummiskey (SVP of Network Development &amp; Strategic Partnerships) Kerri.Cummiskey@alumus.com </a:t>
          </a:r>
        </a:p>
        <a:p>
          <a:pPr algn="l"/>
          <a:endParaRPr lang="en-US" sz="1100" baseline="0"/>
        </a:p>
        <a:p>
          <a:pPr algn="ctr"/>
          <a:r>
            <a:rPr lang="en-US" sz="1100" b="1" baseline="0">
              <a:solidFill>
                <a:schemeClr val="lt1"/>
              </a:solidFill>
              <a:effectLst/>
              <a:latin typeface="+mn-lt"/>
              <a:ea typeface="+mn-ea"/>
              <a:cs typeface="+mn-cs"/>
            </a:rPr>
            <a:t>Recruiting Events: </a:t>
          </a:r>
          <a:endParaRPr lang="en-US">
            <a:effectLst/>
          </a:endParaRPr>
        </a:p>
        <a:p>
          <a:r>
            <a:rPr lang="en-US" sz="1100" baseline="0">
              <a:solidFill>
                <a:schemeClr val="lt1"/>
              </a:solidFill>
              <a:effectLst/>
              <a:latin typeface="+mn-lt"/>
              <a:ea typeface="+mn-ea"/>
              <a:cs typeface="+mn-cs"/>
            </a:rPr>
            <a:t>Melissa McCoy (Director of Talent Acquisition) Melissa.McCoy@alumus.com</a:t>
          </a:r>
        </a:p>
        <a:p>
          <a:endParaRPr lang="en-US">
            <a:effectLst/>
          </a:endParaRPr>
        </a:p>
        <a:p>
          <a:pPr algn="ctr"/>
          <a:r>
            <a:rPr lang="en-US" sz="1100" b="1" baseline="0">
              <a:solidFill>
                <a:schemeClr val="lt1"/>
              </a:solidFill>
              <a:effectLst/>
              <a:latin typeface="+mn-lt"/>
              <a:ea typeface="+mn-ea"/>
              <a:cs typeface="+mn-cs"/>
            </a:rPr>
            <a:t>Encore: </a:t>
          </a:r>
          <a:endParaRPr lang="en-US">
            <a:effectLst/>
          </a:endParaRPr>
        </a:p>
        <a:p>
          <a:r>
            <a:rPr lang="en-US" sz="1100" baseline="0">
              <a:solidFill>
                <a:schemeClr val="lt1"/>
              </a:solidFill>
              <a:effectLst/>
              <a:latin typeface="+mn-lt"/>
              <a:ea typeface="+mn-ea"/>
              <a:cs typeface="+mn-cs"/>
            </a:rPr>
            <a:t>Adam Filbey (</a:t>
          </a:r>
          <a:r>
            <a:rPr lang="en-US" sz="1100" b="0" i="0">
              <a:solidFill>
                <a:schemeClr val="lt1"/>
              </a:solidFill>
              <a:effectLst/>
              <a:latin typeface="+mn-lt"/>
              <a:ea typeface="+mn-ea"/>
              <a:cs typeface="+mn-cs"/>
            </a:rPr>
            <a:t>VP of Operations Senior Living) Adam.Filbey@encorecommunities.com</a:t>
          </a:r>
        </a:p>
        <a:p>
          <a:br>
            <a:rPr lang="en-US"/>
          </a:br>
          <a:endParaRPr lang="en-US">
            <a:effectLst/>
          </a:endParaRPr>
        </a:p>
        <a:p>
          <a:pPr algn="l"/>
          <a:endParaRPr lang="en-US" sz="1100" baseline="0"/>
        </a:p>
      </xdr:txBody>
    </xdr:sp>
    <xdr:clientData/>
  </xdr:twoCellAnchor>
  <xdr:twoCellAnchor>
    <xdr:from>
      <xdr:col>8</xdr:col>
      <xdr:colOff>9526</xdr:colOff>
      <xdr:row>0</xdr:row>
      <xdr:rowOff>104775</xdr:rowOff>
    </xdr:from>
    <xdr:to>
      <xdr:col>8</xdr:col>
      <xdr:colOff>714376</xdr:colOff>
      <xdr:row>0</xdr:row>
      <xdr:rowOff>381000</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18BCE26D-02D7-4706-BDA9-A64760260B39}"/>
            </a:ext>
          </a:extLst>
        </xdr:cNvPr>
        <xdr:cNvSpPr/>
      </xdr:nvSpPr>
      <xdr:spPr>
        <a:xfrm>
          <a:off x="8039101" y="104775"/>
          <a:ext cx="7048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8</xdr:col>
      <xdr:colOff>762000</xdr:colOff>
      <xdr:row>0</xdr:row>
      <xdr:rowOff>95250</xdr:rowOff>
    </xdr:from>
    <xdr:to>
      <xdr:col>8</xdr:col>
      <xdr:colOff>1352550</xdr:colOff>
      <xdr:row>0</xdr:row>
      <xdr:rowOff>371475</xdr:rowOff>
    </xdr:to>
    <xdr:sp macro="" textlink="">
      <xdr:nvSpPr>
        <xdr:cNvPr id="19" name="Rectangle: Rounded Corners 18">
          <a:hlinkClick xmlns:r="http://schemas.openxmlformats.org/officeDocument/2006/relationships" r:id="rId16"/>
          <a:extLst>
            <a:ext uri="{FF2B5EF4-FFF2-40B4-BE49-F238E27FC236}">
              <a16:creationId xmlns:a16="http://schemas.microsoft.com/office/drawing/2014/main" id="{677A2952-E016-45F3-87E2-DDFE49D1431D}"/>
            </a:ext>
          </a:extLst>
        </xdr:cNvPr>
        <xdr:cNvSpPr/>
      </xdr:nvSpPr>
      <xdr:spPr>
        <a:xfrm>
          <a:off x="8791575" y="95250"/>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8</xdr:col>
      <xdr:colOff>1390649</xdr:colOff>
      <xdr:row>0</xdr:row>
      <xdr:rowOff>95250</xdr:rowOff>
    </xdr:from>
    <xdr:to>
      <xdr:col>8</xdr:col>
      <xdr:colOff>2028824</xdr:colOff>
      <xdr:row>0</xdr:row>
      <xdr:rowOff>371475</xdr:rowOff>
    </xdr:to>
    <xdr:sp macro="" textlink="">
      <xdr:nvSpPr>
        <xdr:cNvPr id="20" name="Rectangle: Rounded Corners 19">
          <a:hlinkClick xmlns:r="http://schemas.openxmlformats.org/officeDocument/2006/relationships" r:id="rId17"/>
          <a:extLst>
            <a:ext uri="{FF2B5EF4-FFF2-40B4-BE49-F238E27FC236}">
              <a16:creationId xmlns:a16="http://schemas.microsoft.com/office/drawing/2014/main" id="{48CE1E52-A477-4A57-BFD2-6ED764059CE0}"/>
            </a:ext>
          </a:extLst>
        </xdr:cNvPr>
        <xdr:cNvSpPr/>
      </xdr:nvSpPr>
      <xdr:spPr>
        <a:xfrm>
          <a:off x="94202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twoCellAnchor>
    <xdr:from>
      <xdr:col>3</xdr:col>
      <xdr:colOff>157162</xdr:colOff>
      <xdr:row>27</xdr:row>
      <xdr:rowOff>166686</xdr:rowOff>
    </xdr:from>
    <xdr:to>
      <xdr:col>8</xdr:col>
      <xdr:colOff>847725</xdr:colOff>
      <xdr:row>44</xdr:row>
      <xdr:rowOff>66674</xdr:rowOff>
    </xdr:to>
    <xdr:graphicFrame macro="">
      <xdr:nvGraphicFramePr>
        <xdr:cNvPr id="30" name="Chart 29">
          <a:extLst>
            <a:ext uri="{FF2B5EF4-FFF2-40B4-BE49-F238E27FC236}">
              <a16:creationId xmlns:a16="http://schemas.microsoft.com/office/drawing/2014/main" id="{A78310F6-9EC1-0F93-F434-E9CEDE0810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1000127</xdr:colOff>
      <xdr:row>27</xdr:row>
      <xdr:rowOff>105832</xdr:rowOff>
    </xdr:from>
    <xdr:to>
      <xdr:col>11</xdr:col>
      <xdr:colOff>211668</xdr:colOff>
      <xdr:row>48</xdr:row>
      <xdr:rowOff>23810</xdr:rowOff>
    </xdr:to>
    <xdr:graphicFrame macro="">
      <xdr:nvGraphicFramePr>
        <xdr:cNvPr id="32" name="Chart 31">
          <a:extLst>
            <a:ext uri="{FF2B5EF4-FFF2-40B4-BE49-F238E27FC236}">
              <a16:creationId xmlns:a16="http://schemas.microsoft.com/office/drawing/2014/main" id="{801C0F87-7915-4726-F4FC-12A20D93CB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1419225</xdr:colOff>
      <xdr:row>0</xdr:row>
      <xdr:rowOff>114300</xdr:rowOff>
    </xdr:from>
    <xdr:to>
      <xdr:col>7</xdr:col>
      <xdr:colOff>2009775</xdr:colOff>
      <xdr:row>0</xdr:row>
      <xdr:rowOff>390525</xdr:rowOff>
    </xdr:to>
    <xdr:sp macro="" textlink="">
      <xdr:nvSpPr>
        <xdr:cNvPr id="15" name="Rectangle: Rounded Corners 14">
          <a:hlinkClick xmlns:r="http://schemas.openxmlformats.org/officeDocument/2006/relationships" r:id="rId20"/>
          <a:extLst>
            <a:ext uri="{FF2B5EF4-FFF2-40B4-BE49-F238E27FC236}">
              <a16:creationId xmlns:a16="http://schemas.microsoft.com/office/drawing/2014/main" id="{4B6447E3-2170-4EB4-9C53-AC935D858D90}"/>
            </a:ext>
          </a:extLst>
        </xdr:cNvPr>
        <xdr:cNvSpPr/>
      </xdr:nvSpPr>
      <xdr:spPr>
        <a:xfrm>
          <a:off x="7419975" y="11430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5B257C1-DBFF-4245-9EF9-CB619B9B3F8F}"/>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17" name="Rectangle: Rounded Corners 16">
          <a:hlinkClick xmlns:r="http://schemas.openxmlformats.org/officeDocument/2006/relationships" r:id="rId2"/>
          <a:extLst>
            <a:ext uri="{FF2B5EF4-FFF2-40B4-BE49-F238E27FC236}">
              <a16:creationId xmlns:a16="http://schemas.microsoft.com/office/drawing/2014/main" id="{5220E6F1-A627-4743-91AC-83B6685F4179}"/>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18" name="Rectangle: Rounded Corners 17">
          <a:hlinkClick xmlns:r="http://schemas.openxmlformats.org/officeDocument/2006/relationships" r:id="rId3"/>
          <a:extLst>
            <a:ext uri="{FF2B5EF4-FFF2-40B4-BE49-F238E27FC236}">
              <a16:creationId xmlns:a16="http://schemas.microsoft.com/office/drawing/2014/main" id="{7B4F27AB-DC61-4462-9D25-D92B24B12888}"/>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19" name="Rectangle: Rounded Corners 18">
          <a:hlinkClick xmlns:r="http://schemas.openxmlformats.org/officeDocument/2006/relationships" r:id="rId4"/>
          <a:extLst>
            <a:ext uri="{FF2B5EF4-FFF2-40B4-BE49-F238E27FC236}">
              <a16:creationId xmlns:a16="http://schemas.microsoft.com/office/drawing/2014/main" id="{34EE9F93-455B-42D0-9551-DE4E87534053}"/>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20" name="Rectangle: Rounded Corners 19">
          <a:hlinkClick xmlns:r="http://schemas.openxmlformats.org/officeDocument/2006/relationships" r:id="rId5"/>
          <a:extLst>
            <a:ext uri="{FF2B5EF4-FFF2-40B4-BE49-F238E27FC236}">
              <a16:creationId xmlns:a16="http://schemas.microsoft.com/office/drawing/2014/main" id="{A43D1822-2E75-4FE7-97C7-96AC47AC7CE7}"/>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21" name="Rectangle: Rounded Corners 20">
          <a:hlinkClick xmlns:r="http://schemas.openxmlformats.org/officeDocument/2006/relationships" r:id="rId6"/>
          <a:extLst>
            <a:ext uri="{FF2B5EF4-FFF2-40B4-BE49-F238E27FC236}">
              <a16:creationId xmlns:a16="http://schemas.microsoft.com/office/drawing/2014/main" id="{8C1686E3-B39C-4C1A-982B-DF575BDD2CF5}"/>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22" name="Rectangle: Rounded Corners 21">
          <a:hlinkClick xmlns:r="http://schemas.openxmlformats.org/officeDocument/2006/relationships" r:id="rId7"/>
          <a:extLst>
            <a:ext uri="{FF2B5EF4-FFF2-40B4-BE49-F238E27FC236}">
              <a16:creationId xmlns:a16="http://schemas.microsoft.com/office/drawing/2014/main" id="{A8C3AB28-2024-4D3B-9E13-473377B0EE3C}"/>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23" name="Rectangle: Rounded Corners 22">
          <a:hlinkClick xmlns:r="http://schemas.openxmlformats.org/officeDocument/2006/relationships" r:id="rId8"/>
          <a:extLst>
            <a:ext uri="{FF2B5EF4-FFF2-40B4-BE49-F238E27FC236}">
              <a16:creationId xmlns:a16="http://schemas.microsoft.com/office/drawing/2014/main" id="{9BA65503-6B69-4395-9054-C01A56485F86}"/>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24" name="Rectangle: Rounded Corners 23">
          <a:hlinkClick xmlns:r="http://schemas.openxmlformats.org/officeDocument/2006/relationships" r:id="rId9"/>
          <a:extLst>
            <a:ext uri="{FF2B5EF4-FFF2-40B4-BE49-F238E27FC236}">
              <a16:creationId xmlns:a16="http://schemas.microsoft.com/office/drawing/2014/main" id="{60D72934-E2A6-46EB-B430-D8A3B25DB467}"/>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25" name="Rectangle: Rounded Corners 24">
          <a:hlinkClick xmlns:r="http://schemas.openxmlformats.org/officeDocument/2006/relationships" r:id="rId10"/>
          <a:extLst>
            <a:ext uri="{FF2B5EF4-FFF2-40B4-BE49-F238E27FC236}">
              <a16:creationId xmlns:a16="http://schemas.microsoft.com/office/drawing/2014/main" id="{C1A1B283-5D81-48DE-B6AF-E7A6F9F05B6D}"/>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26" name="Rectangle: Rounded Corners 25">
          <a:hlinkClick xmlns:r="http://schemas.openxmlformats.org/officeDocument/2006/relationships" r:id="rId11"/>
          <a:extLst>
            <a:ext uri="{FF2B5EF4-FFF2-40B4-BE49-F238E27FC236}">
              <a16:creationId xmlns:a16="http://schemas.microsoft.com/office/drawing/2014/main" id="{39912FB5-719A-4DB2-AC0D-F8F659358812}"/>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27" name="Rectangle: Rounded Corners 26">
          <a:hlinkClick xmlns:r="http://schemas.openxmlformats.org/officeDocument/2006/relationships" r:id="rId12"/>
          <a:extLst>
            <a:ext uri="{FF2B5EF4-FFF2-40B4-BE49-F238E27FC236}">
              <a16:creationId xmlns:a16="http://schemas.microsoft.com/office/drawing/2014/main" id="{52579EF7-2E52-47AE-943F-8FA0FF5774C0}"/>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28" name="Rectangle: Rounded Corners 27">
          <a:hlinkClick xmlns:r="http://schemas.openxmlformats.org/officeDocument/2006/relationships" r:id="rId13"/>
          <a:extLst>
            <a:ext uri="{FF2B5EF4-FFF2-40B4-BE49-F238E27FC236}">
              <a16:creationId xmlns:a16="http://schemas.microsoft.com/office/drawing/2014/main" id="{B512BC06-9009-4E5B-9D33-4C452CA5707C}"/>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29" name="Rectangle: Rounded Corners 28">
          <a:hlinkClick xmlns:r="http://schemas.openxmlformats.org/officeDocument/2006/relationships" r:id="rId14"/>
          <a:extLst>
            <a:ext uri="{FF2B5EF4-FFF2-40B4-BE49-F238E27FC236}">
              <a16:creationId xmlns:a16="http://schemas.microsoft.com/office/drawing/2014/main" id="{E6609DB1-A68E-4CBD-8CB2-F3FF7A798D94}"/>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30" name="Rectangle: Rounded Corners 29">
          <a:hlinkClick xmlns:r="http://schemas.openxmlformats.org/officeDocument/2006/relationships" r:id="rId15"/>
          <a:extLst>
            <a:ext uri="{FF2B5EF4-FFF2-40B4-BE49-F238E27FC236}">
              <a16:creationId xmlns:a16="http://schemas.microsoft.com/office/drawing/2014/main" id="{CC4EDB46-A8F6-4E23-A485-09D244D9C08B}"/>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31" name="Rectangle: Rounded Corners 30">
          <a:hlinkClick xmlns:r="http://schemas.openxmlformats.org/officeDocument/2006/relationships" r:id="rId16"/>
          <a:extLst>
            <a:ext uri="{FF2B5EF4-FFF2-40B4-BE49-F238E27FC236}">
              <a16:creationId xmlns:a16="http://schemas.microsoft.com/office/drawing/2014/main" id="{66C97470-791C-4CD3-BDBF-A34F5B3658CF}"/>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32" name="Rectangle: Rounded Corners 31">
          <a:hlinkClick xmlns:r="http://schemas.openxmlformats.org/officeDocument/2006/relationships" r:id="rId17"/>
          <a:extLst>
            <a:ext uri="{FF2B5EF4-FFF2-40B4-BE49-F238E27FC236}">
              <a16:creationId xmlns:a16="http://schemas.microsoft.com/office/drawing/2014/main" id="{F9A21229-A363-4D98-8EFD-1FD4A705C828}"/>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33" name="Rectangle: Rounded Corners 32">
          <a:hlinkClick xmlns:r="http://schemas.openxmlformats.org/officeDocument/2006/relationships" r:id="rId18"/>
          <a:extLst>
            <a:ext uri="{FF2B5EF4-FFF2-40B4-BE49-F238E27FC236}">
              <a16:creationId xmlns:a16="http://schemas.microsoft.com/office/drawing/2014/main" id="{5E2BD446-3AE7-4DEC-B223-B1AA484F1FEF}"/>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50D690D-3197-495D-B31A-7B595B590210}"/>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9BE27784-DF0C-4F68-A2D9-69B84FE6C444}"/>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FF32C222-392F-4E76-995D-1B7D1D836FC1}"/>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318A58C8-A5E1-43A4-A725-7EDCAF74635D}"/>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582F4DD7-4A33-4BE0-AC3A-DA998C78C657}"/>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D86CB49D-F70C-4106-8FB8-DC77B08802A1}"/>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B268E251-9396-4363-822E-60ED2CE8F076}"/>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54822C17-AE7F-471F-9CF2-FD0D7B8CEBDB}"/>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B8D2C23D-87DD-4842-B4CF-9B18142EDE41}"/>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4AB78387-345D-4041-93FE-49ED0A6B962C}"/>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A8768D7E-70C4-4DC6-8F41-40BA23C7911E}"/>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E8F9A31D-1AEE-48AF-98B5-3FB049863209}"/>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9A2D037F-4695-4E1D-8F75-5830256064FB}"/>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23EEF492-CFDE-4B2D-82C8-41C2CF00B33C}"/>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F2089882-9DE0-4E25-A1C9-AD035926EB11}"/>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014C5D50-5A55-480E-9358-6C2A746D158B}"/>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D41C8A1C-8933-4AFD-8138-F116E5690E2D}"/>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7C04CAC7-7BCE-4CF7-9A17-906E8D6D9834}"/>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A44743B-2826-4ED5-8BA2-67661AE82E13}"/>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BD58A69-7759-458B-98BF-D73F8A495E79}"/>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B37963DC-2BB3-48D8-AD8C-23BCEA8D8BDD}"/>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61D89892-5D4D-4E7E-AE11-4E70340A2B68}"/>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A430769B-D868-4094-A8BA-FCB282888D96}"/>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3863252A-7677-4A6A-A837-CB7EF3E5E8B8}"/>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C4C6492B-DE21-48A8-ACA7-1E2833A01574}"/>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9DE6DB9A-7983-41A6-9097-962FA91564F3}"/>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5F35ADF1-D0BC-4B3A-98DB-8D13C615BFBA}"/>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DEEB2C9C-47E5-44A7-A377-EFFFEB42557D}"/>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E9351EF7-9BA9-406B-9427-2CC842F50A6D}"/>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1ABEBC60-809C-480F-B9A5-6A988C74224B}"/>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2EF6A8E6-DB07-44F3-B4E6-A084D61AAE1C}"/>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C585DF12-032C-4B73-870E-781560A23DD7}"/>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A715274F-E6BF-4F20-8ABF-2C8349EFF428}"/>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B7C3ED74-39F6-48A1-A6AA-C23F1A924692}"/>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2A449E65-F18A-40B4-9254-5DB6DADAF56A}"/>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211E5D76-95D8-448A-80C9-51340C4D7945}"/>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D5D5825-DEFA-477A-9723-3B4D68D01991}"/>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B5C55D72-6B8F-412E-956D-44EA7E269AC9}"/>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2FAB5F89-86DA-49C2-A79D-C3E427C16984}"/>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16E9754E-6CB6-4090-BDA5-B56F44F3BC67}"/>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EE1FF011-3643-43E1-9F10-ECCB943688C6}"/>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C41F1C6E-2B05-4F8F-ABE2-D73F52F41EE3}"/>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1427DE87-214F-47D6-8D7E-41CDE021DC22}"/>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57E2E7AB-9E66-430A-92A8-8A183CC00F79}"/>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4D4C5D0F-1CF7-4BCA-929E-47E066FABA75}"/>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32BA3A32-1FC6-4025-9F06-3B7EE7E6278B}"/>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B298AFD6-6152-4F23-A01C-1B1983C24E7A}"/>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22907E21-EF18-4C74-8605-EF18472B61A6}"/>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94BC2547-BE0B-4A33-987A-78C6F0DB0F48}"/>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8ECA65B3-B72A-4366-A45F-CBD68C4F2490}"/>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67B2694C-E4A3-4637-9C38-C726D6F82FBC}"/>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89F8CA41-BFBC-44F1-94C5-5D306F7AA5F3}"/>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6D4B08ED-AA3C-4C34-AB24-EE563420FC65}"/>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F750A572-AC82-4306-A2C4-DD091DD7200D}"/>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FE72CC4-CACE-4817-9E78-1E169C80EA39}"/>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94358428-502A-468E-858C-1948FBFC240D}"/>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2B414EB6-560A-413F-B0E3-5A13D61C22A1}"/>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CB411D54-FA4A-4ACF-9946-3E6E115F0AC9}"/>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0E5F8E03-605E-4E66-AEC5-9F754DB8EAA2}"/>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F2FE2118-D10B-4582-BDCA-C8BF4AF1190C}"/>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BAE8537C-B937-4DE6-8CA1-F785430F50BF}"/>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8E94F69F-C2E7-4E81-A1B5-CB89B5B52B52}"/>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DE6C1857-7C0C-4C07-B601-2563C5906E94}"/>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CDC2E399-7DD4-422C-B86D-1CB3A4F70033}"/>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A754D699-FF49-4195-9180-8F9445F8BB26}"/>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C381515B-D8BA-4314-BC0B-02949FE053D0}"/>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C3E0D210-7AEF-4380-B9C8-A4321487B5B7}"/>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700DF898-226A-46B2-BB3C-6F3D11370F45}"/>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0C3A9206-2581-4D3D-BF2A-F7B831AFECC8}"/>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B223D3A5-6475-46C9-A3DC-1062EE3828E6}"/>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0C0BA07C-EDF0-4C61-8526-D99640FA7108}"/>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02D02E04-BE5C-421B-937C-76B803B12790}"/>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BCE8F9A-EB3F-4A36-B73D-D5F0AE4E26C0}"/>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AAC6C956-535C-4B20-9F63-F1DB81083948}"/>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11A183CC-8B6D-4FFF-B8AA-97588B86245C}"/>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8C68288F-5B9F-4164-AF9C-C2C569AC2D82}"/>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F8853ADE-4B97-42A0-984F-3DB49BA86467}"/>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9158934F-BA8C-41C7-953E-E8124C897B62}"/>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7E2AA4D0-1FEE-40AC-AF0B-1E9D5296F792}"/>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092CC234-FEB3-473F-93A4-0198832A5A51}"/>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26AACC23-9715-4F07-AD5B-6E2EACAC183C}"/>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079FE758-EC1A-44BB-8460-A29CA6CCFAB7}"/>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263ED568-D9F5-4E35-8A08-A31E58172F72}"/>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A6FA0061-E2D0-4719-94DC-4EC7670B57A0}"/>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E0DB2B9E-7E25-4F63-9D72-961A05567E56}"/>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642217D1-67CA-4431-80A8-3540F3388D5A}"/>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E738C9C3-45F5-43AD-A36C-F190A53C81DD}"/>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E5A73DB8-E109-4861-B0E1-395C0B42BA79}"/>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C6B9629D-3729-47E3-9E3B-B8C3B58F7E0E}"/>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FF14A066-CEEB-4C5B-BD5B-5435048ECCC9}"/>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393EEAC-2297-4612-BBB9-63FF8B686DB3}"/>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B370BA6-3EF9-4841-BB7D-3936AA6F5AFE}"/>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DC64E055-D8CD-4A3D-8B08-F80224E8E58D}"/>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66F93629-59D0-43A9-BDE1-F724C76A1437}"/>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98CE6465-DCBB-4947-9001-CD74594FEE71}"/>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5E10A1DA-9D5A-4E9B-830F-89E2A3B47181}"/>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346AADC7-2A1C-45CD-8A3B-772843BCA99B}"/>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9461FD33-5BF0-4DAB-9AD4-FF5DAF7668AF}"/>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869F35A1-DE08-4A65-96D6-D30B564A3DB5}"/>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0C796BAE-DAF2-4F73-8703-7B57241170E0}"/>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B664CEF4-B928-4C21-BFD9-99B4F54D87C4}"/>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7E3D5DEE-DA6F-4FD2-8701-098D023DFF8F}"/>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F24AAFCE-53F7-4028-B18F-743A095F5371}"/>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03BA3709-C240-4F0B-8686-8C6819F2715E}"/>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83A12F7A-4AC1-456A-AD72-31EEE4C58E8A}"/>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DDE700BB-11EE-4023-A067-0DC9740D9488}"/>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D33B44AF-E016-4359-AC27-70CC4F867C67}"/>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CBE411E8-C298-4437-B3A2-D8F4D7A2C14C}"/>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A422DC9-11B6-4331-B160-71543210BB92}"/>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A11589B1-5023-41A1-ABE3-3FBDB7C1CF05}"/>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15B2CB76-CFC6-4831-A539-E6B66A0A7510}"/>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32DCF65D-5B5B-433C-A3C5-82774B54BD6B}"/>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1C330DB7-7759-4F04-8BAA-CBA9A445D77A}"/>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68AB2752-1C9C-4307-A811-74D2CD26CCB7}"/>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BA7B016D-EF2C-4683-A3BD-D306179FECA3}"/>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EBE8748C-FC20-494F-9F21-7ED564485CE4}"/>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5FA9390B-2861-42AF-8106-9219E6930C55}"/>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FCAFC2AA-54D5-4461-8311-D8CDB86BBD1A}"/>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98512EFD-5053-476D-96AB-251B5BD5FE7F}"/>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BC3A2B89-4AB2-465E-B0BE-36FF24FCC382}"/>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D2DA84F4-135B-43B6-A4B0-371FDA1ED583}"/>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450BBFE7-58D3-4CDC-B3C7-09478D8D21D6}"/>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AB01F274-E9EB-4B20-A7F1-656822E88041}"/>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EAB42896-5307-4BE0-BCFB-553CC0EB8CEA}"/>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9951A9CE-D975-4E32-86F2-7932F7BC7FB5}"/>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1F60F5DC-ADEC-4EA7-8E1A-CC53C52ABB53}"/>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B91B3EA4-A758-4AEC-AD92-DFD48AE2BD04}"/>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385B383-9C07-45D3-BAC1-9BC2E7BD3FC0}"/>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11252DDD-916B-4EF2-9EE7-090C7AEB69D4}"/>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07BA68F6-17FA-4718-A762-C42DB6C6E8D8}"/>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6C939947-1A93-4F7C-B636-E08DE3278B56}"/>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EB55339F-EF50-4A97-A54A-684BD62473FA}"/>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E8C1A772-04C1-4931-B400-F5786B03E44B}"/>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928B51A6-044C-4BD9-A637-94240494D702}"/>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6724257B-B830-4670-92EB-2827DBD35786}"/>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74A7DA08-FE8D-4CB8-940E-59DBC17EEA92}"/>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6E10C9F5-7C96-469D-8165-A395D8F1A6E2}"/>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067C5869-2867-4151-A81F-439583D9BBE2}"/>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8A5C4702-6F76-4A3F-A831-DEF03F48BAB6}"/>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4D496E9A-52E9-4B42-A86F-7F6CBECCE3FF}"/>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48BFC611-4A27-4379-ADCE-1BC4FFC0CDBF}"/>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EEF4561C-2131-4E0A-8689-0A2181039EB7}"/>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783CF0C6-2B5A-433F-A76A-EA8D86C197A6}"/>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0778E587-4FAE-44C8-9F9B-EB199C5EEA80}"/>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C8493607-C3D9-4960-8972-C4E7FA74501F}"/>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BFD0FB2-98FA-49D4-AED8-2957E8861771}"/>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997C2B86-90D7-465A-B7D5-1897449B5DFC}"/>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B7C67612-1EBA-4784-95AB-20FD3B7AD8D5}"/>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EED0666F-8930-4B88-858A-BFFD28D60F0A}"/>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F8CA845F-ED73-4F17-A7CC-68DEF0FF823A}"/>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F10A280C-8A9D-4AC6-BD92-AAD40BCF8792}"/>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3DBA90C2-C1C6-46A3-9C4E-BDE32BA555F0}"/>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56B91C93-ADFE-42A9-A07D-28D323561376}"/>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242ED60A-8BF6-49CF-90C2-7F6BCA9339AA}"/>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505A010F-A5F7-4D78-B5BF-AE1D185F340C}"/>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2A54EAA3-B40F-4391-83B5-EF14E459964B}"/>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8E80F270-3CD6-4BB3-9AD7-6AB1588C6BD1}"/>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4064A716-0CB3-4150-A701-FF795FE8B99D}"/>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4AC4A456-BC78-4DF5-889C-557FCD647898}"/>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229243C0-E935-48F1-AAD8-4D6389A5E046}"/>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B8F82BD2-1D8D-415A-B153-ED840764A36C}"/>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5DD73EB5-E5A1-4671-8715-D3BA611D31BF}"/>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465874D-6D5A-4D5A-9A55-DE7B3E8F3121}"/>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87E7E7A3-5D2C-4C01-8B4A-1535B94B3058}"/>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308FE52D-C65C-4B1C-B6D1-A0F1AFAEAA56}"/>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C6E75923-1A5D-42F9-A1E5-C23ADF135699}"/>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60BD8FFC-F642-4F3C-BE64-79F95A945788}"/>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996F7CE8-04DA-4AEC-8504-6EFBAD2E1BFB}"/>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0F54B92D-1D61-41C2-9EDD-CFA44BDF8DF2}"/>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0E5AB199-29EE-4EC0-AC71-7B8C3AF87351}"/>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613B16F3-8DFB-4B23-A5ED-939E1073F2AE}"/>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32B167A3-DBDE-4A9F-9CCE-C262530B6C81}"/>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EC176887-F57B-41B9-B7E6-07C52C95D198}"/>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2F7ED157-AEC6-4AF2-B155-BB95B4444AB0}"/>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CF478E4A-3498-491A-8731-C3FEC9EC2D30}"/>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5F60F3F3-7E02-4C59-B899-E23F406A4A8E}"/>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76E0B291-6FBC-4D8F-9730-01700A9CB229}"/>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45B05A2B-3DB9-49C4-B075-B668F27BC898}"/>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197E01E8-65C0-4161-A38F-B37C005CEE4D}"/>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69B53DB5-73D4-44DD-9EDF-6C0D161F2F2E}"/>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685801</xdr:colOff>
      <xdr:row>0</xdr:row>
      <xdr:rowOff>66675</xdr:rowOff>
    </xdr:from>
    <xdr:to>
      <xdr:col>0</xdr:col>
      <xdr:colOff>1085851</xdr:colOff>
      <xdr:row>0</xdr:row>
      <xdr:rowOff>342900</xdr:rowOff>
    </xdr:to>
    <xdr:sp macro="" textlink="">
      <xdr:nvSpPr>
        <xdr:cNvPr id="29" name="Rectangle: Rounded Corners 28">
          <a:hlinkClick xmlns:r="http://schemas.openxmlformats.org/officeDocument/2006/relationships" r:id="rId1"/>
          <a:extLst>
            <a:ext uri="{FF2B5EF4-FFF2-40B4-BE49-F238E27FC236}">
              <a16:creationId xmlns:a16="http://schemas.microsoft.com/office/drawing/2014/main" id="{5AA5BCD0-77E9-4B13-9965-B8FFE1924A5E}"/>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95251</xdr:colOff>
      <xdr:row>0</xdr:row>
      <xdr:rowOff>66675</xdr:rowOff>
    </xdr:from>
    <xdr:to>
      <xdr:col>0</xdr:col>
      <xdr:colOff>647700</xdr:colOff>
      <xdr:row>0</xdr:row>
      <xdr:rowOff>342900</xdr:rowOff>
    </xdr:to>
    <xdr:sp macro="" textlink="">
      <xdr:nvSpPr>
        <xdr:cNvPr id="30" name="Rectangle: Rounded Corners 29">
          <a:hlinkClick xmlns:r="http://schemas.openxmlformats.org/officeDocument/2006/relationships" r:id="rId2"/>
          <a:extLst>
            <a:ext uri="{FF2B5EF4-FFF2-40B4-BE49-F238E27FC236}">
              <a16:creationId xmlns:a16="http://schemas.microsoft.com/office/drawing/2014/main" id="{34F3090A-502D-49A1-AF1C-9C76DE9EACC4}"/>
            </a:ext>
          </a:extLst>
        </xdr:cNvPr>
        <xdr:cNvSpPr/>
      </xdr:nvSpPr>
      <xdr:spPr>
        <a:xfrm>
          <a:off x="95251" y="666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31" name="Rectangle: Rounded Corners 30">
          <a:hlinkClick xmlns:r="http://schemas.openxmlformats.org/officeDocument/2006/relationships" r:id="rId3"/>
          <a:extLst>
            <a:ext uri="{FF2B5EF4-FFF2-40B4-BE49-F238E27FC236}">
              <a16:creationId xmlns:a16="http://schemas.microsoft.com/office/drawing/2014/main" id="{402AD182-8F55-48B3-81A5-D9A312DFF27C}"/>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1600200</xdr:colOff>
      <xdr:row>0</xdr:row>
      <xdr:rowOff>76200</xdr:rowOff>
    </xdr:from>
    <xdr:to>
      <xdr:col>1</xdr:col>
      <xdr:colOff>238125</xdr:colOff>
      <xdr:row>0</xdr:row>
      <xdr:rowOff>352425</xdr:rowOff>
    </xdr:to>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1CAD7AD0-8FAF-4138-9321-E9F1DE1DC8BF}"/>
            </a:ext>
          </a:extLst>
        </xdr:cNvPr>
        <xdr:cNvSpPr/>
      </xdr:nvSpPr>
      <xdr:spPr>
        <a:xfrm>
          <a:off x="1600200" y="76200"/>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1</xdr:col>
      <xdr:colOff>285750</xdr:colOff>
      <xdr:row>0</xdr:row>
      <xdr:rowOff>85725</xdr:rowOff>
    </xdr:from>
    <xdr:to>
      <xdr:col>1</xdr:col>
      <xdr:colOff>695325</xdr:colOff>
      <xdr:row>0</xdr:row>
      <xdr:rowOff>361950</xdr:rowOff>
    </xdr:to>
    <xdr:sp macro="" textlink="">
      <xdr:nvSpPr>
        <xdr:cNvPr id="33" name="Rectangle: Rounded Corners 32">
          <a:hlinkClick xmlns:r="http://schemas.openxmlformats.org/officeDocument/2006/relationships" r:id="rId5"/>
          <a:extLst>
            <a:ext uri="{FF2B5EF4-FFF2-40B4-BE49-F238E27FC236}">
              <a16:creationId xmlns:a16="http://schemas.microsoft.com/office/drawing/2014/main" id="{BFD58E2A-212B-48AB-B326-36904B9FB59F}"/>
            </a:ext>
          </a:extLst>
        </xdr:cNvPr>
        <xdr:cNvSpPr/>
      </xdr:nvSpPr>
      <xdr:spPr>
        <a:xfrm>
          <a:off x="2095500" y="85725"/>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1F3604B0-5777-4C25-90F3-5FC7C2F63DC3}"/>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2A208AF5-5CC4-4D77-BD3B-875800FCE562}"/>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1</xdr:col>
      <xdr:colOff>1647825</xdr:colOff>
      <xdr:row>0</xdr:row>
      <xdr:rowOff>95250</xdr:rowOff>
    </xdr:from>
    <xdr:to>
      <xdr:col>2</xdr:col>
      <xdr:colOff>266700</xdr:colOff>
      <xdr:row>0</xdr:row>
      <xdr:rowOff>371475</xdr:rowOff>
    </xdr:to>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B4C4A46B-3F27-4997-9C71-F9FD62CC37F7}"/>
            </a:ext>
          </a:extLst>
        </xdr:cNvPr>
        <xdr:cNvSpPr/>
      </xdr:nvSpPr>
      <xdr:spPr>
        <a:xfrm>
          <a:off x="3457575"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2</xdr:col>
      <xdr:colOff>314325</xdr:colOff>
      <xdr:row>0</xdr:row>
      <xdr:rowOff>95250</xdr:rowOff>
    </xdr:from>
    <xdr:to>
      <xdr:col>2</xdr:col>
      <xdr:colOff>771525</xdr:colOff>
      <xdr:row>0</xdr:row>
      <xdr:rowOff>371475</xdr:rowOff>
    </xdr:to>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6B1E9424-C7AD-4672-888D-DFBE006288D3}"/>
            </a:ext>
          </a:extLst>
        </xdr:cNvPr>
        <xdr:cNvSpPr/>
      </xdr:nvSpPr>
      <xdr:spPr>
        <a:xfrm>
          <a:off x="3933825"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792D788A-1860-4F5A-86C2-827271B17314}"/>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39" name="Rectangle: Rounded Corners 38">
          <a:hlinkClick xmlns:r="http://schemas.openxmlformats.org/officeDocument/2006/relationships" r:id="rId11"/>
          <a:extLst>
            <a:ext uri="{FF2B5EF4-FFF2-40B4-BE49-F238E27FC236}">
              <a16:creationId xmlns:a16="http://schemas.microsoft.com/office/drawing/2014/main" id="{C26BDE75-8B35-407A-82AF-99108DA9DEC3}"/>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1752600</xdr:colOff>
      <xdr:row>0</xdr:row>
      <xdr:rowOff>104775</xdr:rowOff>
    </xdr:from>
    <xdr:to>
      <xdr:col>3</xdr:col>
      <xdr:colOff>371475</xdr:colOff>
      <xdr:row>0</xdr:row>
      <xdr:rowOff>381000</xdr:rowOff>
    </xdr:to>
    <xdr:sp macro="" textlink="">
      <xdr:nvSpPr>
        <xdr:cNvPr id="40" name="Rectangle: Rounded Corners 39">
          <a:hlinkClick xmlns:r="http://schemas.openxmlformats.org/officeDocument/2006/relationships" r:id="rId12"/>
          <a:extLst>
            <a:ext uri="{FF2B5EF4-FFF2-40B4-BE49-F238E27FC236}">
              <a16:creationId xmlns:a16="http://schemas.microsoft.com/office/drawing/2014/main" id="{BDD0DDE3-A0C5-450D-A264-92CE12A78B8D}"/>
            </a:ext>
          </a:extLst>
        </xdr:cNvPr>
        <xdr:cNvSpPr/>
      </xdr:nvSpPr>
      <xdr:spPr>
        <a:xfrm>
          <a:off x="5372100" y="1047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3</xdr:col>
      <xdr:colOff>419100</xdr:colOff>
      <xdr:row>0</xdr:row>
      <xdr:rowOff>95250</xdr:rowOff>
    </xdr:from>
    <xdr:to>
      <xdr:col>3</xdr:col>
      <xdr:colOff>914400</xdr:colOff>
      <xdr:row>0</xdr:row>
      <xdr:rowOff>371475</xdr:rowOff>
    </xdr:to>
    <xdr:sp macro="" textlink="">
      <xdr:nvSpPr>
        <xdr:cNvPr id="41" name="Rectangle: Rounded Corners 40">
          <a:hlinkClick xmlns:r="http://schemas.openxmlformats.org/officeDocument/2006/relationships" r:id="rId13"/>
          <a:extLst>
            <a:ext uri="{FF2B5EF4-FFF2-40B4-BE49-F238E27FC236}">
              <a16:creationId xmlns:a16="http://schemas.microsoft.com/office/drawing/2014/main" id="{4FEDF126-D33D-4160-860E-78FF8F309A9E}"/>
            </a:ext>
          </a:extLst>
        </xdr:cNvPr>
        <xdr:cNvSpPr/>
      </xdr:nvSpPr>
      <xdr:spPr>
        <a:xfrm>
          <a:off x="5848350" y="95250"/>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42" name="Rectangle: Rounded Corners 41">
          <a:hlinkClick xmlns:r="http://schemas.openxmlformats.org/officeDocument/2006/relationships" r:id="rId14"/>
          <a:extLst>
            <a:ext uri="{FF2B5EF4-FFF2-40B4-BE49-F238E27FC236}">
              <a16:creationId xmlns:a16="http://schemas.microsoft.com/office/drawing/2014/main" id="{5DC008FB-18AA-4238-9F1D-40B2A4DFA2FE}"/>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1647825</xdr:colOff>
      <xdr:row>0</xdr:row>
      <xdr:rowOff>95250</xdr:rowOff>
    </xdr:from>
    <xdr:to>
      <xdr:col>4</xdr:col>
      <xdr:colOff>428625</xdr:colOff>
      <xdr:row>0</xdr:row>
      <xdr:rowOff>371475</xdr:rowOff>
    </xdr:to>
    <xdr:sp macro="" textlink="">
      <xdr:nvSpPr>
        <xdr:cNvPr id="43" name="Rectangle: Rounded Corners 42">
          <a:hlinkClick xmlns:r="http://schemas.openxmlformats.org/officeDocument/2006/relationships" r:id="rId15"/>
          <a:extLst>
            <a:ext uri="{FF2B5EF4-FFF2-40B4-BE49-F238E27FC236}">
              <a16:creationId xmlns:a16="http://schemas.microsoft.com/office/drawing/2014/main" id="{07EFE6E3-6525-4401-8862-D4A8E0200266}"/>
            </a:ext>
          </a:extLst>
        </xdr:cNvPr>
        <xdr:cNvSpPr/>
      </xdr:nvSpPr>
      <xdr:spPr>
        <a:xfrm>
          <a:off x="7077075" y="95250"/>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466725</xdr:colOff>
      <xdr:row>0</xdr:row>
      <xdr:rowOff>104775</xdr:rowOff>
    </xdr:from>
    <xdr:to>
      <xdr:col>4</xdr:col>
      <xdr:colOff>1057275</xdr:colOff>
      <xdr:row>0</xdr:row>
      <xdr:rowOff>381000</xdr:rowOff>
    </xdr:to>
    <xdr:sp macro="" textlink="">
      <xdr:nvSpPr>
        <xdr:cNvPr id="44" name="Rectangle: Rounded Corners 43">
          <a:hlinkClick xmlns:r="http://schemas.openxmlformats.org/officeDocument/2006/relationships" r:id="rId16"/>
          <a:extLst>
            <a:ext uri="{FF2B5EF4-FFF2-40B4-BE49-F238E27FC236}">
              <a16:creationId xmlns:a16="http://schemas.microsoft.com/office/drawing/2014/main" id="{856BF89F-F272-43FB-A77D-BD27830EE332}"/>
            </a:ext>
          </a:extLst>
        </xdr:cNvPr>
        <xdr:cNvSpPr/>
      </xdr:nvSpPr>
      <xdr:spPr>
        <a:xfrm>
          <a:off x="7705725" y="10477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45" name="Rectangle: Rounded Corners 44">
          <a:hlinkClick xmlns:r="http://schemas.openxmlformats.org/officeDocument/2006/relationships" r:id="rId17"/>
          <a:extLst>
            <a:ext uri="{FF2B5EF4-FFF2-40B4-BE49-F238E27FC236}">
              <a16:creationId xmlns:a16="http://schemas.microsoft.com/office/drawing/2014/main" id="{EB76CEEC-EF69-4898-A597-78974468E75F}"/>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1724024</xdr:colOff>
      <xdr:row>0</xdr:row>
      <xdr:rowOff>95250</xdr:rowOff>
    </xdr:from>
    <xdr:to>
      <xdr:col>5</xdr:col>
      <xdr:colOff>552449</xdr:colOff>
      <xdr:row>0</xdr:row>
      <xdr:rowOff>371475</xdr:rowOff>
    </xdr:to>
    <xdr:sp macro="" textlink="">
      <xdr:nvSpPr>
        <xdr:cNvPr id="46" name="Rectangle: Rounded Corners 45">
          <a:hlinkClick xmlns:r="http://schemas.openxmlformats.org/officeDocument/2006/relationships" r:id="rId18"/>
          <a:extLst>
            <a:ext uri="{FF2B5EF4-FFF2-40B4-BE49-F238E27FC236}">
              <a16:creationId xmlns:a16="http://schemas.microsoft.com/office/drawing/2014/main" id="{87AB2F79-0A37-43DB-8BEA-C4860F7DB151}"/>
            </a:ext>
          </a:extLst>
        </xdr:cNvPr>
        <xdr:cNvSpPr/>
      </xdr:nvSpPr>
      <xdr:spPr>
        <a:xfrm>
          <a:off x="8963024" y="95250"/>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95250</xdr:colOff>
      <xdr:row>4</xdr:row>
      <xdr:rowOff>95250</xdr:rowOff>
    </xdr:from>
    <xdr:to>
      <xdr:col>0</xdr:col>
      <xdr:colOff>438150</xdr:colOff>
      <xdr:row>6</xdr:row>
      <xdr:rowOff>28575</xdr:rowOff>
    </xdr:to>
    <xdr:sp macro="" textlink="">
      <xdr:nvSpPr>
        <xdr:cNvPr id="2" name="Star: 5 Points 1">
          <a:extLst>
            <a:ext uri="{FF2B5EF4-FFF2-40B4-BE49-F238E27FC236}">
              <a16:creationId xmlns:a16="http://schemas.microsoft.com/office/drawing/2014/main" id="{A0E1641F-8E7D-48BD-AA40-C21AB9F5D231}"/>
            </a:ext>
          </a:extLst>
        </xdr:cNvPr>
        <xdr:cNvSpPr/>
      </xdr:nvSpPr>
      <xdr:spPr>
        <a:xfrm>
          <a:off x="95250" y="161448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4</xdr:row>
      <xdr:rowOff>114300</xdr:rowOff>
    </xdr:from>
    <xdr:to>
      <xdr:col>1</xdr:col>
      <xdr:colOff>247650</xdr:colOff>
      <xdr:row>6</xdr:row>
      <xdr:rowOff>47625</xdr:rowOff>
    </xdr:to>
    <xdr:sp macro="" textlink="">
      <xdr:nvSpPr>
        <xdr:cNvPr id="3" name="Star: 5 Points 2">
          <a:extLst>
            <a:ext uri="{FF2B5EF4-FFF2-40B4-BE49-F238E27FC236}">
              <a16:creationId xmlns:a16="http://schemas.microsoft.com/office/drawing/2014/main" id="{99F0FB9D-980D-43B7-A0C5-BB7381B4CB67}"/>
            </a:ext>
          </a:extLst>
        </xdr:cNvPr>
        <xdr:cNvSpPr/>
      </xdr:nvSpPr>
      <xdr:spPr>
        <a:xfrm>
          <a:off x="514350" y="16163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4</xdr:row>
      <xdr:rowOff>114300</xdr:rowOff>
    </xdr:from>
    <xdr:to>
      <xdr:col>2</xdr:col>
      <xdr:colOff>76200</xdr:colOff>
      <xdr:row>6</xdr:row>
      <xdr:rowOff>47625</xdr:rowOff>
    </xdr:to>
    <xdr:sp macro="" textlink="">
      <xdr:nvSpPr>
        <xdr:cNvPr id="4" name="Star: 5 Points 3">
          <a:extLst>
            <a:ext uri="{FF2B5EF4-FFF2-40B4-BE49-F238E27FC236}">
              <a16:creationId xmlns:a16="http://schemas.microsoft.com/office/drawing/2014/main" id="{28804436-9C0E-4F62-ACBA-9C290076922A}"/>
            </a:ext>
          </a:extLst>
        </xdr:cNvPr>
        <xdr:cNvSpPr/>
      </xdr:nvSpPr>
      <xdr:spPr>
        <a:xfrm>
          <a:off x="952500" y="16163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4</xdr:row>
      <xdr:rowOff>114300</xdr:rowOff>
    </xdr:from>
    <xdr:to>
      <xdr:col>2</xdr:col>
      <xdr:colOff>523875</xdr:colOff>
      <xdr:row>6</xdr:row>
      <xdr:rowOff>47625</xdr:rowOff>
    </xdr:to>
    <xdr:sp macro="" textlink="">
      <xdr:nvSpPr>
        <xdr:cNvPr id="5" name="Star: 5 Points 4">
          <a:extLst>
            <a:ext uri="{FF2B5EF4-FFF2-40B4-BE49-F238E27FC236}">
              <a16:creationId xmlns:a16="http://schemas.microsoft.com/office/drawing/2014/main" id="{42B076BC-A03B-415F-BEFB-92E37B7444FB}"/>
            </a:ext>
          </a:extLst>
        </xdr:cNvPr>
        <xdr:cNvSpPr/>
      </xdr:nvSpPr>
      <xdr:spPr>
        <a:xfrm>
          <a:off x="1400175" y="16163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4</xdr:row>
      <xdr:rowOff>123825</xdr:rowOff>
    </xdr:from>
    <xdr:to>
      <xdr:col>3</xdr:col>
      <xdr:colOff>342900</xdr:colOff>
      <xdr:row>6</xdr:row>
      <xdr:rowOff>57150</xdr:rowOff>
    </xdr:to>
    <xdr:sp macro="" textlink="">
      <xdr:nvSpPr>
        <xdr:cNvPr id="6" name="Star: 5 Points 5">
          <a:extLst>
            <a:ext uri="{FF2B5EF4-FFF2-40B4-BE49-F238E27FC236}">
              <a16:creationId xmlns:a16="http://schemas.microsoft.com/office/drawing/2014/main" id="{6B492454-A2D8-4CC5-A38E-CAF89E5CA4D4}"/>
            </a:ext>
          </a:extLst>
        </xdr:cNvPr>
        <xdr:cNvSpPr/>
      </xdr:nvSpPr>
      <xdr:spPr>
        <a:xfrm>
          <a:off x="1828800" y="161734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8</xdr:row>
      <xdr:rowOff>57151</xdr:rowOff>
    </xdr:from>
    <xdr:to>
      <xdr:col>4</xdr:col>
      <xdr:colOff>57150</xdr:colOff>
      <xdr:row>12</xdr:row>
      <xdr:rowOff>9526</xdr:rowOff>
    </xdr:to>
    <xdr:sp macro="" textlink="">
      <xdr:nvSpPr>
        <xdr:cNvPr id="7" name="Rectangle 6">
          <a:extLst>
            <a:ext uri="{FF2B5EF4-FFF2-40B4-BE49-F238E27FC236}">
              <a16:creationId xmlns:a16="http://schemas.microsoft.com/office/drawing/2014/main" id="{21AC45A8-014C-4661-9F22-E104438414CF}"/>
            </a:ext>
          </a:extLst>
        </xdr:cNvPr>
        <xdr:cNvSpPr/>
      </xdr:nvSpPr>
      <xdr:spPr>
        <a:xfrm>
          <a:off x="85725" y="16878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14</xdr:row>
      <xdr:rowOff>76201</xdr:rowOff>
    </xdr:from>
    <xdr:to>
      <xdr:col>4</xdr:col>
      <xdr:colOff>57150</xdr:colOff>
      <xdr:row>18</xdr:row>
      <xdr:rowOff>38101</xdr:rowOff>
    </xdr:to>
    <xdr:sp macro="" textlink="">
      <xdr:nvSpPr>
        <xdr:cNvPr id="8" name="Rectangle 7">
          <a:extLst>
            <a:ext uri="{FF2B5EF4-FFF2-40B4-BE49-F238E27FC236}">
              <a16:creationId xmlns:a16="http://schemas.microsoft.com/office/drawing/2014/main" id="{0FB6EE8D-3950-4DC6-8389-E41555EDD640}"/>
            </a:ext>
          </a:extLst>
        </xdr:cNvPr>
        <xdr:cNvSpPr/>
      </xdr:nvSpPr>
      <xdr:spPr>
        <a:xfrm>
          <a:off x="85725" y="18059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20</xdr:row>
      <xdr:rowOff>123825</xdr:rowOff>
    </xdr:from>
    <xdr:to>
      <xdr:col>4</xdr:col>
      <xdr:colOff>76200</xdr:colOff>
      <xdr:row>29</xdr:row>
      <xdr:rowOff>9525</xdr:rowOff>
    </xdr:to>
    <xdr:sp macro="" textlink="">
      <xdr:nvSpPr>
        <xdr:cNvPr id="9" name="Rectangle 8">
          <a:extLst>
            <a:ext uri="{FF2B5EF4-FFF2-40B4-BE49-F238E27FC236}">
              <a16:creationId xmlns:a16="http://schemas.microsoft.com/office/drawing/2014/main" id="{EA14B158-3618-4A42-A2A4-D818B09A53E0}"/>
            </a:ext>
          </a:extLst>
        </xdr:cNvPr>
        <xdr:cNvSpPr/>
      </xdr:nvSpPr>
      <xdr:spPr>
        <a:xfrm>
          <a:off x="104775" y="192595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8</xdr:row>
      <xdr:rowOff>38100</xdr:rowOff>
    </xdr:from>
    <xdr:to>
      <xdr:col>8</xdr:col>
      <xdr:colOff>561975</xdr:colOff>
      <xdr:row>10</xdr:row>
      <xdr:rowOff>161925</xdr:rowOff>
    </xdr:to>
    <xdr:sp macro="" textlink="">
      <xdr:nvSpPr>
        <xdr:cNvPr id="10" name="Rectangle 9">
          <a:extLst>
            <a:ext uri="{FF2B5EF4-FFF2-40B4-BE49-F238E27FC236}">
              <a16:creationId xmlns:a16="http://schemas.microsoft.com/office/drawing/2014/main" id="{FA25F07A-BC1E-45C2-AAC3-720ABB400BDB}"/>
            </a:ext>
          </a:extLst>
        </xdr:cNvPr>
        <xdr:cNvSpPr/>
      </xdr:nvSpPr>
      <xdr:spPr>
        <a:xfrm>
          <a:off x="3028950" y="168592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14</xdr:row>
      <xdr:rowOff>76201</xdr:rowOff>
    </xdr:from>
    <xdr:to>
      <xdr:col>8</xdr:col>
      <xdr:colOff>561975</xdr:colOff>
      <xdr:row>18</xdr:row>
      <xdr:rowOff>38101</xdr:rowOff>
    </xdr:to>
    <xdr:sp macro="" textlink="">
      <xdr:nvSpPr>
        <xdr:cNvPr id="11" name="Rectangle 10">
          <a:extLst>
            <a:ext uri="{FF2B5EF4-FFF2-40B4-BE49-F238E27FC236}">
              <a16:creationId xmlns:a16="http://schemas.microsoft.com/office/drawing/2014/main" id="{C4196B85-57FE-44C1-9711-F1951D6EE05A}"/>
            </a:ext>
          </a:extLst>
        </xdr:cNvPr>
        <xdr:cNvSpPr/>
      </xdr:nvSpPr>
      <xdr:spPr>
        <a:xfrm>
          <a:off x="3028950" y="18059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20</xdr:row>
      <xdr:rowOff>104775</xdr:rowOff>
    </xdr:from>
    <xdr:to>
      <xdr:col>8</xdr:col>
      <xdr:colOff>561975</xdr:colOff>
      <xdr:row>22</xdr:row>
      <xdr:rowOff>171450</xdr:rowOff>
    </xdr:to>
    <xdr:sp macro="" textlink="">
      <xdr:nvSpPr>
        <xdr:cNvPr id="12" name="Rectangle 11">
          <a:extLst>
            <a:ext uri="{FF2B5EF4-FFF2-40B4-BE49-F238E27FC236}">
              <a16:creationId xmlns:a16="http://schemas.microsoft.com/office/drawing/2014/main" id="{3AE8A69D-0669-4B92-A32B-9251B4F69E8A}"/>
            </a:ext>
          </a:extLst>
        </xdr:cNvPr>
        <xdr:cNvSpPr/>
      </xdr:nvSpPr>
      <xdr:spPr>
        <a:xfrm>
          <a:off x="3028950" y="4343400"/>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Bob Mancini (He is no longer with us)</a:t>
          </a:r>
        </a:p>
      </xdr:txBody>
    </xdr:sp>
    <xdr:clientData/>
  </xdr:twoCellAnchor>
  <xdr:twoCellAnchor>
    <xdr:from>
      <xdr:col>4</xdr:col>
      <xdr:colOff>581026</xdr:colOff>
      <xdr:row>24</xdr:row>
      <xdr:rowOff>104775</xdr:rowOff>
    </xdr:from>
    <xdr:to>
      <xdr:col>5</xdr:col>
      <xdr:colOff>495300</xdr:colOff>
      <xdr:row>26</xdr:row>
      <xdr:rowOff>57150</xdr:rowOff>
    </xdr:to>
    <xdr:sp macro="" textlink="">
      <xdr:nvSpPr>
        <xdr:cNvPr id="13" name="Rectangle 12">
          <a:extLst>
            <a:ext uri="{FF2B5EF4-FFF2-40B4-BE49-F238E27FC236}">
              <a16:creationId xmlns:a16="http://schemas.microsoft.com/office/drawing/2014/main" id="{76316C42-710A-452E-AD68-BB18BA57748D}"/>
            </a:ext>
          </a:extLst>
        </xdr:cNvPr>
        <xdr:cNvSpPr/>
      </xdr:nvSpPr>
      <xdr:spPr>
        <a:xfrm>
          <a:off x="3019426" y="5105400"/>
          <a:ext cx="52387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~200</a:t>
          </a:r>
        </a:p>
        <a:p>
          <a:pPr algn="l"/>
          <a:endParaRPr lang="en-US" sz="1100"/>
        </a:p>
      </xdr:txBody>
    </xdr:sp>
    <xdr:clientData/>
  </xdr:twoCellAnchor>
  <xdr:twoCellAnchor>
    <xdr:from>
      <xdr:col>9</xdr:col>
      <xdr:colOff>428625</xdr:colOff>
      <xdr:row>8</xdr:row>
      <xdr:rowOff>19049</xdr:rowOff>
    </xdr:from>
    <xdr:to>
      <xdr:col>13</xdr:col>
      <xdr:colOff>400050</xdr:colOff>
      <xdr:row>29</xdr:row>
      <xdr:rowOff>123825</xdr:rowOff>
    </xdr:to>
    <xdr:sp macro="" textlink="">
      <xdr:nvSpPr>
        <xdr:cNvPr id="14" name="Rectangle 13">
          <a:extLst>
            <a:ext uri="{FF2B5EF4-FFF2-40B4-BE49-F238E27FC236}">
              <a16:creationId xmlns:a16="http://schemas.microsoft.com/office/drawing/2014/main" id="{08AF0F92-4ACA-4BC3-92BB-E12926F177A6}"/>
            </a:ext>
          </a:extLst>
        </xdr:cNvPr>
        <xdr:cNvSpPr/>
      </xdr:nvSpPr>
      <xdr:spPr>
        <a:xfrm>
          <a:off x="5915025" y="1943099"/>
          <a:ext cx="2409825" cy="41338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This event is attended by health system, hospital, physician group and payer representatives from the Arizona Market - purpose is to make new contacts, cultivate current relationships, obtain introductions and obtain commitments for later meetings, as well as remain abreast with developments in our market and nationally.</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Start 2025 with the latest market intelligence on national and Arizona managed care operations at The Hertel Report’s bi-annual State of the State conference - insights on Medicare Advantage, the ACA Marketplace, Medicaid (AHCCCS), Accountable Care Organizations, and the industry’s shift to value-based payments.</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Orange Tree Resort, 10601 N 56th St, Scottsdale, AZ 85254</a:t>
          </a:r>
          <a:endParaRPr lang="en-US" sz="1100"/>
        </a:p>
      </xdr:txBody>
    </xdr:sp>
    <xdr:clientData/>
  </xdr:twoCellAnchor>
  <xdr:twoCellAnchor>
    <xdr:from>
      <xdr:col>0</xdr:col>
      <xdr:colOff>123825</xdr:colOff>
      <xdr:row>31</xdr:row>
      <xdr:rowOff>85725</xdr:rowOff>
    </xdr:from>
    <xdr:to>
      <xdr:col>4</xdr:col>
      <xdr:colOff>95250</xdr:colOff>
      <xdr:row>39</xdr:row>
      <xdr:rowOff>38100</xdr:rowOff>
    </xdr:to>
    <xdr:sp macro="" textlink="">
      <xdr:nvSpPr>
        <xdr:cNvPr id="15" name="Rectangle 14">
          <a:extLst>
            <a:ext uri="{FF2B5EF4-FFF2-40B4-BE49-F238E27FC236}">
              <a16:creationId xmlns:a16="http://schemas.microsoft.com/office/drawing/2014/main" id="{02BE615A-131B-4CC3-9B85-2D706531EAF3}"/>
            </a:ext>
          </a:extLst>
        </xdr:cNvPr>
        <xdr:cNvSpPr/>
      </xdr:nvSpPr>
      <xdr:spPr>
        <a:xfrm>
          <a:off x="123825" y="21316950"/>
          <a:ext cx="2409825" cy="1476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Total cost is $400.00 - </a:t>
          </a:r>
        </a:p>
        <a:p>
          <a:pPr algn="l"/>
          <a:r>
            <a:rPr lang="en-US" sz="1100" b="0" i="0">
              <a:solidFill>
                <a:schemeClr val="lt1"/>
              </a:solidFill>
              <a:effectLst/>
              <a:latin typeface="+mn-lt"/>
              <a:ea typeface="+mn-ea"/>
              <a:cs typeface="+mn-cs"/>
            </a:rPr>
            <a:t>$200.00 per attendee. </a:t>
          </a:r>
        </a:p>
        <a:p>
          <a:pPr algn="l"/>
          <a:r>
            <a:rPr lang="en-US" sz="1100" b="0" i="0">
              <a:solidFill>
                <a:schemeClr val="lt1"/>
              </a:solidFill>
              <a:effectLst/>
              <a:latin typeface="+mn-lt"/>
              <a:ea typeface="+mn-ea"/>
              <a:cs typeface="+mn-cs"/>
            </a:rPr>
            <a:t>No travel, </a:t>
          </a:r>
        </a:p>
        <a:p>
          <a:pPr algn="l"/>
          <a:r>
            <a:rPr lang="en-US" sz="1100" b="0" i="0">
              <a:solidFill>
                <a:schemeClr val="lt1"/>
              </a:solidFill>
              <a:effectLst/>
              <a:latin typeface="+mn-lt"/>
              <a:ea typeface="+mn-ea"/>
              <a:cs typeface="+mn-cs"/>
            </a:rPr>
            <a:t>food is provided, </a:t>
          </a:r>
        </a:p>
        <a:p>
          <a:pPr algn="l"/>
          <a:r>
            <a:rPr lang="en-US" sz="1100" b="0" i="0">
              <a:solidFill>
                <a:schemeClr val="lt1"/>
              </a:solidFill>
              <a:effectLst/>
              <a:latin typeface="+mn-lt"/>
              <a:ea typeface="+mn-ea"/>
              <a:cs typeface="+mn-cs"/>
            </a:rPr>
            <a:t>minimal collateral materials, which we already have.</a:t>
          </a:r>
          <a:endParaRPr lang="en-US" sz="1100"/>
        </a:p>
      </xdr:txBody>
    </xdr:sp>
    <xdr:clientData/>
  </xdr:twoCellAnchor>
  <xdr:twoCellAnchor>
    <xdr:from>
      <xdr:col>4</xdr:col>
      <xdr:colOff>581025</xdr:colOff>
      <xdr:row>28</xdr:row>
      <xdr:rowOff>19050</xdr:rowOff>
    </xdr:from>
    <xdr:to>
      <xdr:col>9</xdr:col>
      <xdr:colOff>209550</xdr:colOff>
      <xdr:row>30</xdr:row>
      <xdr:rowOff>171450</xdr:rowOff>
    </xdr:to>
    <xdr:sp macro="" textlink="">
      <xdr:nvSpPr>
        <xdr:cNvPr id="16" name="Rectangle 15">
          <a:extLst>
            <a:ext uri="{FF2B5EF4-FFF2-40B4-BE49-F238E27FC236}">
              <a16:creationId xmlns:a16="http://schemas.microsoft.com/office/drawing/2014/main" id="{D2BD26FD-974C-4188-A7EC-9C366BC81AAA}"/>
            </a:ext>
          </a:extLst>
        </xdr:cNvPr>
        <xdr:cNvSpPr/>
      </xdr:nvSpPr>
      <xdr:spPr>
        <a:xfrm>
          <a:off x="3019425" y="5781675"/>
          <a:ext cx="2676525" cy="533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Physician groups, system/hospital/ACO leadership, payer community and leadership</a:t>
          </a:r>
          <a:endParaRPr lang="en-US" sz="1100"/>
        </a:p>
      </xdr:txBody>
    </xdr:sp>
    <xdr:clientData/>
  </xdr:twoCellAnchor>
  <xdr:twoCellAnchor>
    <xdr:from>
      <xdr:col>4</xdr:col>
      <xdr:colOff>552450</xdr:colOff>
      <xdr:row>32</xdr:row>
      <xdr:rowOff>133350</xdr:rowOff>
    </xdr:from>
    <xdr:to>
      <xdr:col>8</xdr:col>
      <xdr:colOff>523875</xdr:colOff>
      <xdr:row>34</xdr:row>
      <xdr:rowOff>104775</xdr:rowOff>
    </xdr:to>
    <xdr:sp macro="" textlink="">
      <xdr:nvSpPr>
        <xdr:cNvPr id="17" name="Rectangle 16">
          <a:extLst>
            <a:ext uri="{FF2B5EF4-FFF2-40B4-BE49-F238E27FC236}">
              <a16:creationId xmlns:a16="http://schemas.microsoft.com/office/drawing/2014/main" id="{DF8305CC-3611-4665-8435-932D112ED82D}"/>
            </a:ext>
          </a:extLst>
        </xdr:cNvPr>
        <xdr:cNvSpPr/>
      </xdr:nvSpPr>
      <xdr:spPr>
        <a:xfrm>
          <a:off x="2990850" y="2155507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a:t>
          </a:r>
          <a:endParaRPr lang="en-US" sz="1100"/>
        </a:p>
      </xdr:txBody>
    </xdr:sp>
    <xdr:clientData/>
  </xdr:twoCellAnchor>
  <xdr:twoCellAnchor>
    <xdr:from>
      <xdr:col>4</xdr:col>
      <xdr:colOff>561975</xdr:colOff>
      <xdr:row>36</xdr:row>
      <xdr:rowOff>76200</xdr:rowOff>
    </xdr:from>
    <xdr:to>
      <xdr:col>8</xdr:col>
      <xdr:colOff>533400</xdr:colOff>
      <xdr:row>39</xdr:row>
      <xdr:rowOff>123825</xdr:rowOff>
    </xdr:to>
    <xdr:sp macro="" textlink="">
      <xdr:nvSpPr>
        <xdr:cNvPr id="18" name="Rectangle 17">
          <a:hlinkClick xmlns:r="http://schemas.openxmlformats.org/officeDocument/2006/relationships" r:id="rId1"/>
          <a:extLst>
            <a:ext uri="{FF2B5EF4-FFF2-40B4-BE49-F238E27FC236}">
              <a16:creationId xmlns:a16="http://schemas.microsoft.com/office/drawing/2014/main" id="{DA2C5A5D-1030-4724-8ADC-48C66671D47E}"/>
            </a:ext>
          </a:extLst>
        </xdr:cNvPr>
        <xdr:cNvSpPr/>
      </xdr:nvSpPr>
      <xdr:spPr>
        <a:xfrm>
          <a:off x="3000375" y="7362825"/>
          <a:ext cx="2409825" cy="6191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https://www.thehertelreport.com/save-the-date-2025-winter-state-of-the-state/</a:t>
          </a:r>
          <a:endParaRPr lang="en-US" sz="1100"/>
        </a:p>
      </xdr:txBody>
    </xdr:sp>
    <xdr:clientData/>
  </xdr:twoCellAnchor>
  <xdr:twoCellAnchor>
    <xdr:from>
      <xdr:col>0</xdr:col>
      <xdr:colOff>95250</xdr:colOff>
      <xdr:row>43</xdr:row>
      <xdr:rowOff>95250</xdr:rowOff>
    </xdr:from>
    <xdr:to>
      <xdr:col>0</xdr:col>
      <xdr:colOff>438150</xdr:colOff>
      <xdr:row>45</xdr:row>
      <xdr:rowOff>28575</xdr:rowOff>
    </xdr:to>
    <xdr:sp macro="" textlink="">
      <xdr:nvSpPr>
        <xdr:cNvPr id="33" name="Star: 5 Points 32">
          <a:extLst>
            <a:ext uri="{FF2B5EF4-FFF2-40B4-BE49-F238E27FC236}">
              <a16:creationId xmlns:a16="http://schemas.microsoft.com/office/drawing/2014/main" id="{4E7DEEFA-DE7E-4B50-B701-EE4D646FA0DD}"/>
            </a:ext>
          </a:extLst>
        </xdr:cNvPr>
        <xdr:cNvSpPr/>
      </xdr:nvSpPr>
      <xdr:spPr>
        <a:xfrm>
          <a:off x="95250" y="12477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43</xdr:row>
      <xdr:rowOff>114300</xdr:rowOff>
    </xdr:from>
    <xdr:to>
      <xdr:col>1</xdr:col>
      <xdr:colOff>247650</xdr:colOff>
      <xdr:row>45</xdr:row>
      <xdr:rowOff>47625</xdr:rowOff>
    </xdr:to>
    <xdr:sp macro="" textlink="">
      <xdr:nvSpPr>
        <xdr:cNvPr id="34" name="Star: 5 Points 33">
          <a:extLst>
            <a:ext uri="{FF2B5EF4-FFF2-40B4-BE49-F238E27FC236}">
              <a16:creationId xmlns:a16="http://schemas.microsoft.com/office/drawing/2014/main" id="{DF20A3BD-0848-485B-A7DB-06238F04ED9F}"/>
            </a:ext>
          </a:extLst>
        </xdr:cNvPr>
        <xdr:cNvSpPr/>
      </xdr:nvSpPr>
      <xdr:spPr>
        <a:xfrm>
          <a:off x="514350" y="1266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43</xdr:row>
      <xdr:rowOff>114300</xdr:rowOff>
    </xdr:from>
    <xdr:to>
      <xdr:col>2</xdr:col>
      <xdr:colOff>76200</xdr:colOff>
      <xdr:row>45</xdr:row>
      <xdr:rowOff>47625</xdr:rowOff>
    </xdr:to>
    <xdr:sp macro="" textlink="">
      <xdr:nvSpPr>
        <xdr:cNvPr id="35" name="Star: 5 Points 34">
          <a:extLst>
            <a:ext uri="{FF2B5EF4-FFF2-40B4-BE49-F238E27FC236}">
              <a16:creationId xmlns:a16="http://schemas.microsoft.com/office/drawing/2014/main" id="{4607F9FF-BC8A-4AFB-B061-967197B5FB4E}"/>
            </a:ext>
          </a:extLst>
        </xdr:cNvPr>
        <xdr:cNvSpPr/>
      </xdr:nvSpPr>
      <xdr:spPr>
        <a:xfrm>
          <a:off x="952500" y="1266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43</xdr:row>
      <xdr:rowOff>114300</xdr:rowOff>
    </xdr:from>
    <xdr:to>
      <xdr:col>2</xdr:col>
      <xdr:colOff>523875</xdr:colOff>
      <xdr:row>45</xdr:row>
      <xdr:rowOff>47625</xdr:rowOff>
    </xdr:to>
    <xdr:sp macro="" textlink="">
      <xdr:nvSpPr>
        <xdr:cNvPr id="36" name="Star: 5 Points 35">
          <a:extLst>
            <a:ext uri="{FF2B5EF4-FFF2-40B4-BE49-F238E27FC236}">
              <a16:creationId xmlns:a16="http://schemas.microsoft.com/office/drawing/2014/main" id="{C4210F79-1071-4136-A30B-844C0CD24FF5}"/>
            </a:ext>
          </a:extLst>
        </xdr:cNvPr>
        <xdr:cNvSpPr/>
      </xdr:nvSpPr>
      <xdr:spPr>
        <a:xfrm>
          <a:off x="1400175" y="1266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43</xdr:row>
      <xdr:rowOff>123825</xdr:rowOff>
    </xdr:from>
    <xdr:to>
      <xdr:col>3</xdr:col>
      <xdr:colOff>342900</xdr:colOff>
      <xdr:row>45</xdr:row>
      <xdr:rowOff>57150</xdr:rowOff>
    </xdr:to>
    <xdr:sp macro="" textlink="">
      <xdr:nvSpPr>
        <xdr:cNvPr id="37" name="Star: 5 Points 36">
          <a:extLst>
            <a:ext uri="{FF2B5EF4-FFF2-40B4-BE49-F238E27FC236}">
              <a16:creationId xmlns:a16="http://schemas.microsoft.com/office/drawing/2014/main" id="{76B84BEF-A877-46CB-B260-E8F35F79BC95}"/>
            </a:ext>
          </a:extLst>
        </xdr:cNvPr>
        <xdr:cNvSpPr/>
      </xdr:nvSpPr>
      <xdr:spPr>
        <a:xfrm>
          <a:off x="1828800" y="12763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47</xdr:row>
      <xdr:rowOff>57151</xdr:rowOff>
    </xdr:from>
    <xdr:to>
      <xdr:col>4</xdr:col>
      <xdr:colOff>57150</xdr:colOff>
      <xdr:row>51</xdr:row>
      <xdr:rowOff>9526</xdr:rowOff>
    </xdr:to>
    <xdr:sp macro="" textlink="">
      <xdr:nvSpPr>
        <xdr:cNvPr id="38" name="Rectangle 37">
          <a:extLst>
            <a:ext uri="{FF2B5EF4-FFF2-40B4-BE49-F238E27FC236}">
              <a16:creationId xmlns:a16="http://schemas.microsoft.com/office/drawing/2014/main" id="{B8503A66-1CE9-48FB-8930-0748735806E0}"/>
            </a:ext>
          </a:extLst>
        </xdr:cNvPr>
        <xdr:cNvSpPr/>
      </xdr:nvSpPr>
      <xdr:spPr>
        <a:xfrm>
          <a:off x="85725" y="1981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53</xdr:row>
      <xdr:rowOff>76201</xdr:rowOff>
    </xdr:from>
    <xdr:to>
      <xdr:col>4</xdr:col>
      <xdr:colOff>57150</xdr:colOff>
      <xdr:row>57</xdr:row>
      <xdr:rowOff>38101</xdr:rowOff>
    </xdr:to>
    <xdr:sp macro="" textlink="">
      <xdr:nvSpPr>
        <xdr:cNvPr id="39" name="Rectangle 38">
          <a:extLst>
            <a:ext uri="{FF2B5EF4-FFF2-40B4-BE49-F238E27FC236}">
              <a16:creationId xmlns:a16="http://schemas.microsoft.com/office/drawing/2014/main" id="{4948603E-5B61-4A1C-9445-2322C2D488E2}"/>
            </a:ext>
          </a:extLst>
        </xdr:cNvPr>
        <xdr:cNvSpPr/>
      </xdr:nvSpPr>
      <xdr:spPr>
        <a:xfrm>
          <a:off x="85725" y="3162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59</xdr:row>
      <xdr:rowOff>123825</xdr:rowOff>
    </xdr:from>
    <xdr:to>
      <xdr:col>4</xdr:col>
      <xdr:colOff>76200</xdr:colOff>
      <xdr:row>68</xdr:row>
      <xdr:rowOff>9525</xdr:rowOff>
    </xdr:to>
    <xdr:sp macro="" textlink="">
      <xdr:nvSpPr>
        <xdr:cNvPr id="40" name="Rectangle 39">
          <a:extLst>
            <a:ext uri="{FF2B5EF4-FFF2-40B4-BE49-F238E27FC236}">
              <a16:creationId xmlns:a16="http://schemas.microsoft.com/office/drawing/2014/main" id="{2C0D92CD-11BC-4302-BA5A-405C4718655F}"/>
            </a:ext>
          </a:extLst>
        </xdr:cNvPr>
        <xdr:cNvSpPr/>
      </xdr:nvSpPr>
      <xdr:spPr>
        <a:xfrm>
          <a:off x="104775" y="43624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47</xdr:row>
      <xdr:rowOff>38100</xdr:rowOff>
    </xdr:from>
    <xdr:to>
      <xdr:col>8</xdr:col>
      <xdr:colOff>561975</xdr:colOff>
      <xdr:row>49</xdr:row>
      <xdr:rowOff>161925</xdr:rowOff>
    </xdr:to>
    <xdr:sp macro="" textlink="">
      <xdr:nvSpPr>
        <xdr:cNvPr id="41" name="Rectangle 40">
          <a:extLst>
            <a:ext uri="{FF2B5EF4-FFF2-40B4-BE49-F238E27FC236}">
              <a16:creationId xmlns:a16="http://schemas.microsoft.com/office/drawing/2014/main" id="{B5E2FCED-AEDB-4692-ABA3-B773F70AF0FA}"/>
            </a:ext>
          </a:extLst>
        </xdr:cNvPr>
        <xdr:cNvSpPr/>
      </xdr:nvSpPr>
      <xdr:spPr>
        <a:xfrm>
          <a:off x="3028950" y="19621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53</xdr:row>
      <xdr:rowOff>76201</xdr:rowOff>
    </xdr:from>
    <xdr:to>
      <xdr:col>8</xdr:col>
      <xdr:colOff>561975</xdr:colOff>
      <xdr:row>57</xdr:row>
      <xdr:rowOff>38101</xdr:rowOff>
    </xdr:to>
    <xdr:sp macro="" textlink="">
      <xdr:nvSpPr>
        <xdr:cNvPr id="42" name="Rectangle 41">
          <a:extLst>
            <a:ext uri="{FF2B5EF4-FFF2-40B4-BE49-F238E27FC236}">
              <a16:creationId xmlns:a16="http://schemas.microsoft.com/office/drawing/2014/main" id="{EEAC4413-DF20-4C06-9472-5F3FCDACA7C5}"/>
            </a:ext>
          </a:extLst>
        </xdr:cNvPr>
        <xdr:cNvSpPr/>
      </xdr:nvSpPr>
      <xdr:spPr>
        <a:xfrm>
          <a:off x="3028950" y="3162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59</xdr:row>
      <xdr:rowOff>104775</xdr:rowOff>
    </xdr:from>
    <xdr:to>
      <xdr:col>8</xdr:col>
      <xdr:colOff>561975</xdr:colOff>
      <xdr:row>61</xdr:row>
      <xdr:rowOff>171450</xdr:rowOff>
    </xdr:to>
    <xdr:sp macro="" textlink="">
      <xdr:nvSpPr>
        <xdr:cNvPr id="43" name="Rectangle 42">
          <a:extLst>
            <a:ext uri="{FF2B5EF4-FFF2-40B4-BE49-F238E27FC236}">
              <a16:creationId xmlns:a16="http://schemas.microsoft.com/office/drawing/2014/main" id="{9ED71B80-4E49-4554-A1EF-035FAB22F0E9}"/>
            </a:ext>
          </a:extLst>
        </xdr:cNvPr>
        <xdr:cNvSpPr/>
      </xdr:nvSpPr>
      <xdr:spPr>
        <a:xfrm>
          <a:off x="3028950" y="4343400"/>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Bob Mancini &amp; Kerri Cummiskey</a:t>
          </a:r>
        </a:p>
      </xdr:txBody>
    </xdr:sp>
    <xdr:clientData/>
  </xdr:twoCellAnchor>
  <xdr:twoCellAnchor>
    <xdr:from>
      <xdr:col>4</xdr:col>
      <xdr:colOff>581026</xdr:colOff>
      <xdr:row>63</xdr:row>
      <xdr:rowOff>104775</xdr:rowOff>
    </xdr:from>
    <xdr:to>
      <xdr:col>5</xdr:col>
      <xdr:colOff>495300</xdr:colOff>
      <xdr:row>65</xdr:row>
      <xdr:rowOff>57150</xdr:rowOff>
    </xdr:to>
    <xdr:sp macro="" textlink="">
      <xdr:nvSpPr>
        <xdr:cNvPr id="44" name="Rectangle 43">
          <a:extLst>
            <a:ext uri="{FF2B5EF4-FFF2-40B4-BE49-F238E27FC236}">
              <a16:creationId xmlns:a16="http://schemas.microsoft.com/office/drawing/2014/main" id="{A667FCA6-9232-4740-B547-77774160F31E}"/>
            </a:ext>
          </a:extLst>
        </xdr:cNvPr>
        <xdr:cNvSpPr/>
      </xdr:nvSpPr>
      <xdr:spPr>
        <a:xfrm>
          <a:off x="3019426" y="5105400"/>
          <a:ext cx="52387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~200</a:t>
          </a:r>
        </a:p>
        <a:p>
          <a:pPr algn="l"/>
          <a:endParaRPr lang="en-US" sz="1100"/>
        </a:p>
      </xdr:txBody>
    </xdr:sp>
    <xdr:clientData/>
  </xdr:twoCellAnchor>
  <xdr:twoCellAnchor>
    <xdr:from>
      <xdr:col>9</xdr:col>
      <xdr:colOff>447675</xdr:colOff>
      <xdr:row>45</xdr:row>
      <xdr:rowOff>66674</xdr:rowOff>
    </xdr:from>
    <xdr:to>
      <xdr:col>13</xdr:col>
      <xdr:colOff>419100</xdr:colOff>
      <xdr:row>54</xdr:row>
      <xdr:rowOff>19050</xdr:rowOff>
    </xdr:to>
    <xdr:sp macro="" textlink="">
      <xdr:nvSpPr>
        <xdr:cNvPr id="45" name="Rectangle 44">
          <a:extLst>
            <a:ext uri="{FF2B5EF4-FFF2-40B4-BE49-F238E27FC236}">
              <a16:creationId xmlns:a16="http://schemas.microsoft.com/office/drawing/2014/main" id="{642B7831-D978-47E5-804C-6A5169FC9616}"/>
            </a:ext>
          </a:extLst>
        </xdr:cNvPr>
        <xdr:cNvSpPr/>
      </xdr:nvSpPr>
      <xdr:spPr>
        <a:xfrm>
          <a:off x="5934075" y="9239249"/>
          <a:ext cx="2409825" cy="16954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Visibility to ACMA attendees and speak to our CareConnect Model of care</a:t>
          </a: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Saturday Conference we attended last year - 1-day; Annual spring AZ conf; hospital and industry attendees; well-attended last year</a:t>
          </a: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Westin Kierland Resort &amp; Spa, Scottsdale </a:t>
          </a:r>
          <a:endParaRPr lang="en-US" sz="1100"/>
        </a:p>
      </xdr:txBody>
    </xdr:sp>
    <xdr:clientData/>
  </xdr:twoCellAnchor>
  <xdr:twoCellAnchor>
    <xdr:from>
      <xdr:col>0</xdr:col>
      <xdr:colOff>123824</xdr:colOff>
      <xdr:row>70</xdr:row>
      <xdr:rowOff>85727</xdr:rowOff>
    </xdr:from>
    <xdr:to>
      <xdr:col>11</xdr:col>
      <xdr:colOff>85725</xdr:colOff>
      <xdr:row>78</xdr:row>
      <xdr:rowOff>95250</xdr:rowOff>
    </xdr:to>
    <xdr:sp macro="" textlink="">
      <xdr:nvSpPr>
        <xdr:cNvPr id="46" name="Rectangle 45">
          <a:extLst>
            <a:ext uri="{FF2B5EF4-FFF2-40B4-BE49-F238E27FC236}">
              <a16:creationId xmlns:a16="http://schemas.microsoft.com/office/drawing/2014/main" id="{F435E756-D3A8-4D0F-B268-37E8689AA209}"/>
            </a:ext>
          </a:extLst>
        </xdr:cNvPr>
        <xdr:cNvSpPr/>
      </xdr:nvSpPr>
      <xdr:spPr>
        <a:xfrm>
          <a:off x="123824" y="14058902"/>
          <a:ext cx="6667501" cy="153352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a:solidFill>
                <a:schemeClr val="lt1"/>
              </a:solidFill>
              <a:effectLst/>
              <a:latin typeface="+mn-lt"/>
              <a:ea typeface="+mn-ea"/>
              <a:cs typeface="+mn-cs"/>
            </a:rPr>
            <a:t>BRONZE: $850</a:t>
          </a:r>
          <a:endParaRPr lang="en-US" sz="1100" b="0" i="0">
            <a:solidFill>
              <a:schemeClr val="lt1"/>
            </a:solidFill>
            <a:effectLst/>
            <a:latin typeface="+mn-lt"/>
            <a:ea typeface="+mn-ea"/>
            <a:cs typeface="+mn-cs"/>
          </a:endParaRPr>
        </a:p>
        <a:p>
          <a:r>
            <a:rPr lang="en-US" sz="1100" b="0" i="0">
              <a:solidFill>
                <a:schemeClr val="lt1"/>
              </a:solidFill>
              <a:effectLst/>
              <a:latin typeface="+mn-lt"/>
              <a:ea typeface="+mn-ea"/>
              <a:cs typeface="+mn-cs"/>
            </a:rPr>
            <a:t>▪ Booth Package – one 6’ Skirted Table, two Chairs (table-top and banner stand displays only)</a:t>
          </a:r>
        </a:p>
        <a:p>
          <a:r>
            <a:rPr lang="en-US" sz="1100" b="0" i="0">
              <a:solidFill>
                <a:schemeClr val="lt1"/>
              </a:solidFill>
              <a:effectLst/>
              <a:latin typeface="+mn-lt"/>
              <a:ea typeface="+mn-ea"/>
              <a:cs typeface="+mn-cs"/>
            </a:rPr>
            <a:t>▪ Pre-Conference Attendee List via email 2 days prior to conference (email addresses not included)</a:t>
          </a:r>
        </a:p>
        <a:p>
          <a:r>
            <a:rPr lang="en-US" sz="1100" b="0" i="0">
              <a:solidFill>
                <a:schemeClr val="lt1"/>
              </a:solidFill>
              <a:effectLst/>
              <a:latin typeface="+mn-lt"/>
              <a:ea typeface="+mn-ea"/>
              <a:cs typeface="+mn-cs"/>
            </a:rPr>
            <a:t>▪ Post-Conference Attendee List via email within 1 week after the conference (email addresses not included)</a:t>
          </a:r>
        </a:p>
        <a:p>
          <a:r>
            <a:rPr lang="en-US" sz="1100" b="0" i="0">
              <a:solidFill>
                <a:schemeClr val="lt1"/>
              </a:solidFill>
              <a:effectLst/>
              <a:latin typeface="+mn-lt"/>
              <a:ea typeface="+mn-ea"/>
              <a:cs typeface="+mn-cs"/>
            </a:rPr>
            <a:t>▪ Company profile included in conference materials and in the Exhibitor Directory &amp; Referral Guide that is emailed to </a:t>
          </a:r>
        </a:p>
        <a:p>
          <a:r>
            <a:rPr lang="en-US" sz="1100" b="0" i="0">
              <a:solidFill>
                <a:schemeClr val="lt1"/>
              </a:solidFill>
              <a:effectLst/>
              <a:latin typeface="+mn-lt"/>
              <a:ea typeface="+mn-ea"/>
              <a:cs typeface="+mn-cs"/>
            </a:rPr>
            <a:t>all conference attendees after the event</a:t>
          </a:r>
        </a:p>
        <a:p>
          <a:r>
            <a:rPr lang="en-US" sz="1100" b="0" i="0">
              <a:solidFill>
                <a:schemeClr val="lt1"/>
              </a:solidFill>
              <a:effectLst/>
              <a:latin typeface="+mn-lt"/>
              <a:ea typeface="+mn-ea"/>
              <a:cs typeface="+mn-cs"/>
            </a:rPr>
            <a:t>▪ (2) all-access name badges allowing booth representatives access to educational sessions, food functions and </a:t>
          </a:r>
        </a:p>
        <a:p>
          <a:r>
            <a:rPr lang="en-US" sz="1100" b="0" i="0">
              <a:solidFill>
                <a:schemeClr val="lt1"/>
              </a:solidFill>
              <a:effectLst/>
              <a:latin typeface="+mn-lt"/>
              <a:ea typeface="+mn-ea"/>
              <a:cs typeface="+mn-cs"/>
            </a:rPr>
            <a:t>continuing education credits if needed.</a:t>
          </a:r>
        </a:p>
      </xdr:txBody>
    </xdr:sp>
    <xdr:clientData/>
  </xdr:twoCellAnchor>
  <xdr:twoCellAnchor>
    <xdr:from>
      <xdr:col>4</xdr:col>
      <xdr:colOff>581025</xdr:colOff>
      <xdr:row>67</xdr:row>
      <xdr:rowOff>19050</xdr:rowOff>
    </xdr:from>
    <xdr:to>
      <xdr:col>9</xdr:col>
      <xdr:colOff>209550</xdr:colOff>
      <xdr:row>69</xdr:row>
      <xdr:rowOff>171450</xdr:rowOff>
    </xdr:to>
    <xdr:sp macro="" textlink="">
      <xdr:nvSpPr>
        <xdr:cNvPr id="47" name="Rectangle 46">
          <a:extLst>
            <a:ext uri="{FF2B5EF4-FFF2-40B4-BE49-F238E27FC236}">
              <a16:creationId xmlns:a16="http://schemas.microsoft.com/office/drawing/2014/main" id="{C5F12495-5CC8-4A55-BF55-95D1107AE0D3}"/>
            </a:ext>
          </a:extLst>
        </xdr:cNvPr>
        <xdr:cNvSpPr/>
      </xdr:nvSpPr>
      <xdr:spPr>
        <a:xfrm>
          <a:off x="3019425" y="5781675"/>
          <a:ext cx="2676525" cy="533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ACMA attendees/Case Managers (more professional CM Association)</a:t>
          </a:r>
          <a:endParaRPr lang="en-US" sz="1100"/>
        </a:p>
      </xdr:txBody>
    </xdr:sp>
    <xdr:clientData/>
  </xdr:twoCellAnchor>
  <xdr:twoCellAnchor>
    <xdr:from>
      <xdr:col>9</xdr:col>
      <xdr:colOff>57150</xdr:colOff>
      <xdr:row>56</xdr:row>
      <xdr:rowOff>66675</xdr:rowOff>
    </xdr:from>
    <xdr:to>
      <xdr:col>13</xdr:col>
      <xdr:colOff>28575</xdr:colOff>
      <xdr:row>58</xdr:row>
      <xdr:rowOff>38100</xdr:rowOff>
    </xdr:to>
    <xdr:sp macro="" textlink="">
      <xdr:nvSpPr>
        <xdr:cNvPr id="48" name="Rectangle 47">
          <a:extLst>
            <a:ext uri="{FF2B5EF4-FFF2-40B4-BE49-F238E27FC236}">
              <a16:creationId xmlns:a16="http://schemas.microsoft.com/office/drawing/2014/main" id="{2A1E7BA1-AAD4-4F31-B5B5-1BAA7AABE971}"/>
            </a:ext>
          </a:extLst>
        </xdr:cNvPr>
        <xdr:cNvSpPr/>
      </xdr:nvSpPr>
      <xdr:spPr>
        <a:xfrm>
          <a:off x="5543550" y="1136332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 Aleca / Sante</a:t>
          </a:r>
          <a:endParaRPr lang="en-US" sz="1100"/>
        </a:p>
      </xdr:txBody>
    </xdr:sp>
    <xdr:clientData/>
  </xdr:twoCellAnchor>
  <xdr:twoCellAnchor>
    <xdr:from>
      <xdr:col>9</xdr:col>
      <xdr:colOff>57150</xdr:colOff>
      <xdr:row>60</xdr:row>
      <xdr:rowOff>104775</xdr:rowOff>
    </xdr:from>
    <xdr:to>
      <xdr:col>11</xdr:col>
      <xdr:colOff>600075</xdr:colOff>
      <xdr:row>62</xdr:row>
      <xdr:rowOff>57150</xdr:rowOff>
    </xdr:to>
    <xdr:sp macro="" textlink="">
      <xdr:nvSpPr>
        <xdr:cNvPr id="49" name="Rectangle 48">
          <a:hlinkClick xmlns:r="http://schemas.openxmlformats.org/officeDocument/2006/relationships" r:id="rId2"/>
          <a:extLst>
            <a:ext uri="{FF2B5EF4-FFF2-40B4-BE49-F238E27FC236}">
              <a16:creationId xmlns:a16="http://schemas.microsoft.com/office/drawing/2014/main" id="{3DBD9213-7B47-42BF-B644-B3C25C4592D3}"/>
            </a:ext>
          </a:extLst>
        </xdr:cNvPr>
        <xdr:cNvSpPr/>
      </xdr:nvSpPr>
      <xdr:spPr>
        <a:xfrm>
          <a:off x="5543550" y="12172950"/>
          <a:ext cx="1762125"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https://events.acmaweb.org</a:t>
          </a:r>
          <a:endParaRPr lang="en-US" sz="1100"/>
        </a:p>
      </xdr:txBody>
    </xdr:sp>
    <xdr:clientData/>
  </xdr:twoCellAnchor>
  <xdr:twoCellAnchor>
    <xdr:from>
      <xdr:col>0</xdr:col>
      <xdr:colOff>95250</xdr:colOff>
      <xdr:row>82</xdr:row>
      <xdr:rowOff>95250</xdr:rowOff>
    </xdr:from>
    <xdr:to>
      <xdr:col>0</xdr:col>
      <xdr:colOff>438150</xdr:colOff>
      <xdr:row>84</xdr:row>
      <xdr:rowOff>28575</xdr:rowOff>
    </xdr:to>
    <xdr:sp macro="" textlink="">
      <xdr:nvSpPr>
        <xdr:cNvPr id="104" name="Star: 5 Points 103">
          <a:extLst>
            <a:ext uri="{FF2B5EF4-FFF2-40B4-BE49-F238E27FC236}">
              <a16:creationId xmlns:a16="http://schemas.microsoft.com/office/drawing/2014/main" id="{3393BE1E-22B0-4B4D-A47B-3EA40916CC5E}"/>
            </a:ext>
          </a:extLst>
        </xdr:cNvPr>
        <xdr:cNvSpPr/>
      </xdr:nvSpPr>
      <xdr:spPr>
        <a:xfrm>
          <a:off x="95250" y="12477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82</xdr:row>
      <xdr:rowOff>114300</xdr:rowOff>
    </xdr:from>
    <xdr:to>
      <xdr:col>1</xdr:col>
      <xdr:colOff>247650</xdr:colOff>
      <xdr:row>84</xdr:row>
      <xdr:rowOff>47625</xdr:rowOff>
    </xdr:to>
    <xdr:sp macro="" textlink="">
      <xdr:nvSpPr>
        <xdr:cNvPr id="105" name="Star: 5 Points 104">
          <a:extLst>
            <a:ext uri="{FF2B5EF4-FFF2-40B4-BE49-F238E27FC236}">
              <a16:creationId xmlns:a16="http://schemas.microsoft.com/office/drawing/2014/main" id="{ED9DF7D2-6DC0-4E96-9A67-67DFB88A5482}"/>
            </a:ext>
          </a:extLst>
        </xdr:cNvPr>
        <xdr:cNvSpPr/>
      </xdr:nvSpPr>
      <xdr:spPr>
        <a:xfrm>
          <a:off x="514350" y="1266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82</xdr:row>
      <xdr:rowOff>114300</xdr:rowOff>
    </xdr:from>
    <xdr:to>
      <xdr:col>2</xdr:col>
      <xdr:colOff>76200</xdr:colOff>
      <xdr:row>84</xdr:row>
      <xdr:rowOff>47625</xdr:rowOff>
    </xdr:to>
    <xdr:sp macro="" textlink="">
      <xdr:nvSpPr>
        <xdr:cNvPr id="106" name="Star: 5 Points 105">
          <a:extLst>
            <a:ext uri="{FF2B5EF4-FFF2-40B4-BE49-F238E27FC236}">
              <a16:creationId xmlns:a16="http://schemas.microsoft.com/office/drawing/2014/main" id="{A1CFE87B-A7F2-4104-99CA-4EF3E3155D71}"/>
            </a:ext>
          </a:extLst>
        </xdr:cNvPr>
        <xdr:cNvSpPr/>
      </xdr:nvSpPr>
      <xdr:spPr>
        <a:xfrm>
          <a:off x="952500" y="1266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82</xdr:row>
      <xdr:rowOff>114300</xdr:rowOff>
    </xdr:from>
    <xdr:to>
      <xdr:col>2</xdr:col>
      <xdr:colOff>523875</xdr:colOff>
      <xdr:row>84</xdr:row>
      <xdr:rowOff>47625</xdr:rowOff>
    </xdr:to>
    <xdr:sp macro="" textlink="">
      <xdr:nvSpPr>
        <xdr:cNvPr id="107" name="Star: 5 Points 106">
          <a:extLst>
            <a:ext uri="{FF2B5EF4-FFF2-40B4-BE49-F238E27FC236}">
              <a16:creationId xmlns:a16="http://schemas.microsoft.com/office/drawing/2014/main" id="{EB2786C7-A765-459D-A98A-B6783D0C8898}"/>
            </a:ext>
          </a:extLst>
        </xdr:cNvPr>
        <xdr:cNvSpPr/>
      </xdr:nvSpPr>
      <xdr:spPr>
        <a:xfrm>
          <a:off x="1400175" y="1266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82</xdr:row>
      <xdr:rowOff>123825</xdr:rowOff>
    </xdr:from>
    <xdr:to>
      <xdr:col>3</xdr:col>
      <xdr:colOff>342900</xdr:colOff>
      <xdr:row>84</xdr:row>
      <xdr:rowOff>57150</xdr:rowOff>
    </xdr:to>
    <xdr:sp macro="" textlink="">
      <xdr:nvSpPr>
        <xdr:cNvPr id="108" name="Star: 5 Points 107">
          <a:extLst>
            <a:ext uri="{FF2B5EF4-FFF2-40B4-BE49-F238E27FC236}">
              <a16:creationId xmlns:a16="http://schemas.microsoft.com/office/drawing/2014/main" id="{F033CC90-2139-4472-B047-8626D919B5B0}"/>
            </a:ext>
          </a:extLst>
        </xdr:cNvPr>
        <xdr:cNvSpPr/>
      </xdr:nvSpPr>
      <xdr:spPr>
        <a:xfrm>
          <a:off x="1828800" y="12763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86</xdr:row>
      <xdr:rowOff>57151</xdr:rowOff>
    </xdr:from>
    <xdr:to>
      <xdr:col>4</xdr:col>
      <xdr:colOff>57150</xdr:colOff>
      <xdr:row>90</xdr:row>
      <xdr:rowOff>9526</xdr:rowOff>
    </xdr:to>
    <xdr:sp macro="" textlink="">
      <xdr:nvSpPr>
        <xdr:cNvPr id="109" name="Rectangle 108">
          <a:extLst>
            <a:ext uri="{FF2B5EF4-FFF2-40B4-BE49-F238E27FC236}">
              <a16:creationId xmlns:a16="http://schemas.microsoft.com/office/drawing/2014/main" id="{374F1DF3-83AB-4BE2-888A-ABF18A53B366}"/>
            </a:ext>
          </a:extLst>
        </xdr:cNvPr>
        <xdr:cNvSpPr/>
      </xdr:nvSpPr>
      <xdr:spPr>
        <a:xfrm>
          <a:off x="85725" y="1981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92</xdr:row>
      <xdr:rowOff>76201</xdr:rowOff>
    </xdr:from>
    <xdr:to>
      <xdr:col>4</xdr:col>
      <xdr:colOff>57150</xdr:colOff>
      <xdr:row>96</xdr:row>
      <xdr:rowOff>38101</xdr:rowOff>
    </xdr:to>
    <xdr:sp macro="" textlink="">
      <xdr:nvSpPr>
        <xdr:cNvPr id="110" name="Rectangle 109">
          <a:extLst>
            <a:ext uri="{FF2B5EF4-FFF2-40B4-BE49-F238E27FC236}">
              <a16:creationId xmlns:a16="http://schemas.microsoft.com/office/drawing/2014/main" id="{AB6DD265-1B6A-424A-A099-AB9E3C9C3561}"/>
            </a:ext>
          </a:extLst>
        </xdr:cNvPr>
        <xdr:cNvSpPr/>
      </xdr:nvSpPr>
      <xdr:spPr>
        <a:xfrm>
          <a:off x="85725" y="3162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98</xdr:row>
      <xdr:rowOff>123825</xdr:rowOff>
    </xdr:from>
    <xdr:to>
      <xdr:col>4</xdr:col>
      <xdr:colOff>504825</xdr:colOff>
      <xdr:row>101</xdr:row>
      <xdr:rowOff>142875</xdr:rowOff>
    </xdr:to>
    <xdr:sp macro="" textlink="">
      <xdr:nvSpPr>
        <xdr:cNvPr id="111" name="Rectangle 110">
          <a:extLst>
            <a:ext uri="{FF2B5EF4-FFF2-40B4-BE49-F238E27FC236}">
              <a16:creationId xmlns:a16="http://schemas.microsoft.com/office/drawing/2014/main" id="{70FF668C-3CC8-4763-86F6-3511BB0A3918}"/>
            </a:ext>
          </a:extLst>
        </xdr:cNvPr>
        <xdr:cNvSpPr/>
      </xdr:nvSpPr>
      <xdr:spPr>
        <a:xfrm>
          <a:off x="104775" y="19573875"/>
          <a:ext cx="2838450" cy="5905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86</xdr:row>
      <xdr:rowOff>38100</xdr:rowOff>
    </xdr:from>
    <xdr:to>
      <xdr:col>8</xdr:col>
      <xdr:colOff>561975</xdr:colOff>
      <xdr:row>88</xdr:row>
      <xdr:rowOff>161925</xdr:rowOff>
    </xdr:to>
    <xdr:sp macro="" textlink="">
      <xdr:nvSpPr>
        <xdr:cNvPr id="112" name="Rectangle 111">
          <a:extLst>
            <a:ext uri="{FF2B5EF4-FFF2-40B4-BE49-F238E27FC236}">
              <a16:creationId xmlns:a16="http://schemas.microsoft.com/office/drawing/2014/main" id="{4F980ABB-5BA1-42E6-AC14-D49FB917E567}"/>
            </a:ext>
          </a:extLst>
        </xdr:cNvPr>
        <xdr:cNvSpPr/>
      </xdr:nvSpPr>
      <xdr:spPr>
        <a:xfrm>
          <a:off x="3028950" y="19621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92</xdr:row>
      <xdr:rowOff>76201</xdr:rowOff>
    </xdr:from>
    <xdr:to>
      <xdr:col>8</xdr:col>
      <xdr:colOff>561975</xdr:colOff>
      <xdr:row>96</xdr:row>
      <xdr:rowOff>38101</xdr:rowOff>
    </xdr:to>
    <xdr:sp macro="" textlink="">
      <xdr:nvSpPr>
        <xdr:cNvPr id="113" name="Rectangle 112">
          <a:extLst>
            <a:ext uri="{FF2B5EF4-FFF2-40B4-BE49-F238E27FC236}">
              <a16:creationId xmlns:a16="http://schemas.microsoft.com/office/drawing/2014/main" id="{3CC7D40D-9D8C-48F1-9C99-906D305400EF}"/>
            </a:ext>
          </a:extLst>
        </xdr:cNvPr>
        <xdr:cNvSpPr/>
      </xdr:nvSpPr>
      <xdr:spPr>
        <a:xfrm>
          <a:off x="3028950" y="3162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98</xdr:row>
      <xdr:rowOff>104775</xdr:rowOff>
    </xdr:from>
    <xdr:to>
      <xdr:col>8</xdr:col>
      <xdr:colOff>561975</xdr:colOff>
      <xdr:row>100</xdr:row>
      <xdr:rowOff>171450</xdr:rowOff>
    </xdr:to>
    <xdr:sp macro="" textlink="">
      <xdr:nvSpPr>
        <xdr:cNvPr id="114" name="Rectangle 113">
          <a:extLst>
            <a:ext uri="{FF2B5EF4-FFF2-40B4-BE49-F238E27FC236}">
              <a16:creationId xmlns:a16="http://schemas.microsoft.com/office/drawing/2014/main" id="{B8EF88E9-3C2B-40FF-9C00-821F5B0E6E8E}"/>
            </a:ext>
          </a:extLst>
        </xdr:cNvPr>
        <xdr:cNvSpPr/>
      </xdr:nvSpPr>
      <xdr:spPr>
        <a:xfrm>
          <a:off x="3028950" y="4343400"/>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Kerri Cummiskey</a:t>
          </a:r>
        </a:p>
      </xdr:txBody>
    </xdr:sp>
    <xdr:clientData/>
  </xdr:twoCellAnchor>
  <xdr:twoCellAnchor>
    <xdr:from>
      <xdr:col>4</xdr:col>
      <xdr:colOff>581026</xdr:colOff>
      <xdr:row>102</xdr:row>
      <xdr:rowOff>104775</xdr:rowOff>
    </xdr:from>
    <xdr:to>
      <xdr:col>5</xdr:col>
      <xdr:colOff>495300</xdr:colOff>
      <xdr:row>104</xdr:row>
      <xdr:rowOff>57150</xdr:rowOff>
    </xdr:to>
    <xdr:sp macro="" textlink="">
      <xdr:nvSpPr>
        <xdr:cNvPr id="115" name="Rectangle 114">
          <a:extLst>
            <a:ext uri="{FF2B5EF4-FFF2-40B4-BE49-F238E27FC236}">
              <a16:creationId xmlns:a16="http://schemas.microsoft.com/office/drawing/2014/main" id="{B2F9D75E-805A-491C-8E29-4AD623CFE498}"/>
            </a:ext>
          </a:extLst>
        </xdr:cNvPr>
        <xdr:cNvSpPr/>
      </xdr:nvSpPr>
      <xdr:spPr>
        <a:xfrm>
          <a:off x="3019426" y="5105400"/>
          <a:ext cx="52387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~200</a:t>
          </a:r>
        </a:p>
        <a:p>
          <a:pPr algn="l"/>
          <a:endParaRPr lang="en-US" sz="1100"/>
        </a:p>
      </xdr:txBody>
    </xdr:sp>
    <xdr:clientData/>
  </xdr:twoCellAnchor>
  <xdr:twoCellAnchor>
    <xdr:from>
      <xdr:col>9</xdr:col>
      <xdr:colOff>428625</xdr:colOff>
      <xdr:row>86</xdr:row>
      <xdr:rowOff>19049</xdr:rowOff>
    </xdr:from>
    <xdr:to>
      <xdr:col>13</xdr:col>
      <xdr:colOff>400050</xdr:colOff>
      <xdr:row>115</xdr:row>
      <xdr:rowOff>19050</xdr:rowOff>
    </xdr:to>
    <xdr:sp macro="" textlink="">
      <xdr:nvSpPr>
        <xdr:cNvPr id="116" name="Rectangle 115">
          <a:extLst>
            <a:ext uri="{FF2B5EF4-FFF2-40B4-BE49-F238E27FC236}">
              <a16:creationId xmlns:a16="http://schemas.microsoft.com/office/drawing/2014/main" id="{2C768068-06A3-4865-AD32-D462E0C4E260}"/>
            </a:ext>
          </a:extLst>
        </xdr:cNvPr>
        <xdr:cNvSpPr/>
      </xdr:nvSpPr>
      <xdr:spPr>
        <a:xfrm>
          <a:off x="5915025" y="17221199"/>
          <a:ext cx="2409825" cy="55530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To better understand models of care delivery and interact with prospective partners to connect for additional meetings</a:t>
          </a: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32nd Annual National Case Management and Transitions of Care Conference &amp; 26th Annual ACMA Meeting - the premier case management and transitions of care event of the year! Network, exchange ideas, and engage with nurses, social workers, physicians, health plan and other health care professionals as you discover the latest innovations and best practices to improve patient care outcomes. This event will bring experiences, networking, education and inspiration together to foster personal and career growth. Don't miss the latest case management and transitions of care trends and topics. Social Determinants of Health | Care Transitions &amp; Community Collaboration | Health Plan/Provider Coordination | Technology &amp; AI | Pediatric and Maternal Care Strategies | Physician Advisor &amp; Case Management Collaboration | Workforce Resiliency &amp; Leadership Development | Research &amp; Innovation</a:t>
          </a:r>
        </a:p>
        <a:p>
          <a:r>
            <a:rPr lang="en-US" sz="1100" b="0" i="0">
              <a:solidFill>
                <a:schemeClr val="lt1"/>
              </a:solidFill>
              <a:effectLst/>
              <a:latin typeface="+mn-lt"/>
              <a:ea typeface="+mn-ea"/>
              <a:cs typeface="+mn-cs"/>
            </a:rPr>
            <a:t>Patient-Centric Care &amp; Engagement</a:t>
          </a: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Denver, Colorado</a:t>
          </a:r>
          <a:endParaRPr lang="en-US" sz="1100"/>
        </a:p>
      </xdr:txBody>
    </xdr:sp>
    <xdr:clientData/>
  </xdr:twoCellAnchor>
  <xdr:twoCellAnchor>
    <xdr:from>
      <xdr:col>0</xdr:col>
      <xdr:colOff>85725</xdr:colOff>
      <xdr:row>103</xdr:row>
      <xdr:rowOff>38100</xdr:rowOff>
    </xdr:from>
    <xdr:to>
      <xdr:col>5</xdr:col>
      <xdr:colOff>0</xdr:colOff>
      <xdr:row>120</xdr:row>
      <xdr:rowOff>161925</xdr:rowOff>
    </xdr:to>
    <xdr:sp macro="" textlink="">
      <xdr:nvSpPr>
        <xdr:cNvPr id="117" name="Rectangle 116">
          <a:extLst>
            <a:ext uri="{FF2B5EF4-FFF2-40B4-BE49-F238E27FC236}">
              <a16:creationId xmlns:a16="http://schemas.microsoft.com/office/drawing/2014/main" id="{AD9B3119-4075-403B-A0C0-741E235134E1}"/>
            </a:ext>
          </a:extLst>
        </xdr:cNvPr>
        <xdr:cNvSpPr/>
      </xdr:nvSpPr>
      <xdr:spPr>
        <a:xfrm>
          <a:off x="85725" y="20440650"/>
          <a:ext cx="2962275" cy="33623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a:solidFill>
                <a:schemeClr val="lt1"/>
              </a:solidFill>
              <a:effectLst/>
              <a:latin typeface="+mn-lt"/>
              <a:ea typeface="+mn-ea"/>
              <a:cs typeface="+mn-cs"/>
            </a:rPr>
            <a:t>*This is a previously unattended conference; there is also one in the fall that is supposedly directed to a "Leadership" audience to include Physician leaders. I have no actual insights. </a:t>
          </a:r>
          <a:r>
            <a:rPr lang="en-US" sz="1100" b="0" i="0">
              <a:solidFill>
                <a:schemeClr val="lt1"/>
              </a:solidFill>
              <a:effectLst/>
              <a:latin typeface="+mn-lt"/>
              <a:ea typeface="+mn-ea"/>
              <a:cs typeface="+mn-cs"/>
            </a:rPr>
            <a:t>ACMA's discounted group rate for a standard room is $284 for single/double occupancy, plus a resort fee of $28/night and applicable tax. Each additional person is an additional $20. </a:t>
          </a:r>
          <a:r>
            <a:rPr lang="en-US" sz="1100" b="1" i="0">
              <a:solidFill>
                <a:schemeClr val="lt1"/>
              </a:solidFill>
              <a:effectLst/>
              <a:latin typeface="+mn-lt"/>
              <a:ea typeface="+mn-ea"/>
              <a:cs typeface="+mn-cs"/>
            </a:rPr>
            <a:t>Discounted group rates are available until Friday, March 9, 2025,</a:t>
          </a:r>
          <a:r>
            <a:rPr lang="en-US" sz="1100" b="0" i="0">
              <a:solidFill>
                <a:schemeClr val="lt1"/>
              </a:solidFill>
              <a:effectLst/>
              <a:latin typeface="+mn-lt"/>
              <a:ea typeface="+mn-ea"/>
              <a:cs typeface="+mn-cs"/>
            </a:rPr>
            <a:t> or until all guest rooms in the block have been reserved, whichever comes first. A limited number of rooms are available at the group rate for three nights prior to and after the conference, so we encourage you to make your reservations early. </a:t>
          </a:r>
          <a:r>
            <a:rPr lang="en-US" sz="1100" b="1" i="0">
              <a:solidFill>
                <a:schemeClr val="lt1"/>
              </a:solidFill>
              <a:effectLst/>
              <a:latin typeface="+mn-lt"/>
              <a:ea typeface="+mn-ea"/>
              <a:cs typeface="+mn-cs"/>
            </a:rPr>
            <a:t>Airline Tix to Denver, CURRENTLY averaging 200 - $300 round trip; meals - some included; no car necessary, but Uber/Lyft would be needed to get to venue and return to airport. </a:t>
          </a:r>
          <a:r>
            <a:rPr lang="en-US" b="1"/>
            <a:t>Early Registration (through February 14, 2025):</a:t>
          </a:r>
          <a:endParaRPr lang="en-US"/>
        </a:p>
        <a:p>
          <a:r>
            <a:rPr lang="en-US"/>
            <a:t>Member: $825​</a:t>
          </a:r>
          <a:r>
            <a:rPr lang="en-US">
              <a:hlinkClick xmlns:r="http://schemas.openxmlformats.org/officeDocument/2006/relationships" r:id=""/>
            </a:rPr>
            <a:t>ACMA Events+3ACMA Events+3Fundraising Event Software+3</a:t>
          </a:r>
          <a:endParaRPr lang="en-US"/>
        </a:p>
        <a:p>
          <a:r>
            <a:rPr lang="en-US"/>
            <a:t>Non-Member: $985​</a:t>
          </a:r>
          <a:r>
            <a:rPr lang="en-US">
              <a:hlinkClick xmlns:r="http://schemas.openxmlformats.org/officeDocument/2006/relationships" r:id=""/>
            </a:rPr>
            <a:t>ACMA Events+2ACMA Events+2ACMA Events+2</a:t>
          </a:r>
          <a:endParaRPr lang="en-US"/>
        </a:p>
        <a:p>
          <a:r>
            <a:rPr lang="en-US" b="1"/>
            <a:t>Regular Registration (February 15 – March 14, 2025):</a:t>
          </a:r>
          <a:endParaRPr lang="en-US"/>
        </a:p>
        <a:p>
          <a:r>
            <a:rPr lang="en-US"/>
            <a:t>Member: $975​</a:t>
          </a:r>
          <a:r>
            <a:rPr lang="en-US">
              <a:hlinkClick xmlns:r="http://schemas.openxmlformats.org/officeDocument/2006/relationships" r:id=""/>
            </a:rPr>
            <a:t>Log in or sign up to view+4ACMA Events+4ACMA Events+4</a:t>
          </a:r>
          <a:endParaRPr lang="en-US"/>
        </a:p>
        <a:p>
          <a:r>
            <a:rPr lang="en-US"/>
            <a:t>Non-Member: $1,135​</a:t>
          </a:r>
          <a:r>
            <a:rPr lang="en-US">
              <a:hlinkClick xmlns:r="http://schemas.openxmlformats.org/officeDocument/2006/relationships" r:id=""/>
            </a:rPr>
            <a:t>ACMA Events+2ACMA Events+2ACMA Events+2</a:t>
          </a:r>
          <a:endParaRPr lang="en-US"/>
        </a:p>
        <a:p>
          <a:r>
            <a:rPr lang="en-US" b="1"/>
            <a:t>Late Registration (March 15 – April 6, 2025):</a:t>
          </a:r>
          <a:endParaRPr lang="en-US"/>
        </a:p>
        <a:p>
          <a:r>
            <a:rPr lang="en-US"/>
            <a:t>Member: $1,075​</a:t>
          </a:r>
        </a:p>
        <a:p>
          <a:r>
            <a:rPr lang="en-US"/>
            <a:t>Non-Member: $1,235</a:t>
          </a:r>
        </a:p>
        <a:p>
          <a:pPr algn="l"/>
          <a:endParaRPr lang="en-US" sz="1100"/>
        </a:p>
      </xdr:txBody>
    </xdr:sp>
    <xdr:clientData/>
  </xdr:twoCellAnchor>
  <xdr:twoCellAnchor>
    <xdr:from>
      <xdr:col>5</xdr:col>
      <xdr:colOff>590550</xdr:colOff>
      <xdr:row>106</xdr:row>
      <xdr:rowOff>19050</xdr:rowOff>
    </xdr:from>
    <xdr:to>
      <xdr:col>9</xdr:col>
      <xdr:colOff>276225</xdr:colOff>
      <xdr:row>116</xdr:row>
      <xdr:rowOff>142875</xdr:rowOff>
    </xdr:to>
    <xdr:sp macro="" textlink="">
      <xdr:nvSpPr>
        <xdr:cNvPr id="118" name="Rectangle 117">
          <a:extLst>
            <a:ext uri="{FF2B5EF4-FFF2-40B4-BE49-F238E27FC236}">
              <a16:creationId xmlns:a16="http://schemas.microsoft.com/office/drawing/2014/main" id="{09DAABE6-4B5E-46B0-9A37-16117A0525E5}"/>
            </a:ext>
          </a:extLst>
        </xdr:cNvPr>
        <xdr:cNvSpPr/>
      </xdr:nvSpPr>
      <xdr:spPr>
        <a:xfrm>
          <a:off x="3638550" y="20993100"/>
          <a:ext cx="2124075" cy="20288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Health delivery system case management and transitions of care experts will discuss community partnerships, provide tools, and present examples of successful models. Sessions offer advanced and intermediate level content for Social Workers, Nurses, Case Managers, Physician Advisors and Case Management and Transitions of Care leaders.</a:t>
          </a:r>
          <a:endParaRPr lang="en-US" sz="1100"/>
        </a:p>
      </xdr:txBody>
    </xdr:sp>
    <xdr:clientData/>
  </xdr:twoCellAnchor>
  <xdr:twoCellAnchor>
    <xdr:from>
      <xdr:col>5</xdr:col>
      <xdr:colOff>247650</xdr:colOff>
      <xdr:row>118</xdr:row>
      <xdr:rowOff>133350</xdr:rowOff>
    </xdr:from>
    <xdr:to>
      <xdr:col>9</xdr:col>
      <xdr:colOff>219075</xdr:colOff>
      <xdr:row>120</xdr:row>
      <xdr:rowOff>104775</xdr:rowOff>
    </xdr:to>
    <xdr:sp macro="" textlink="">
      <xdr:nvSpPr>
        <xdr:cNvPr id="119" name="Rectangle 118">
          <a:extLst>
            <a:ext uri="{FF2B5EF4-FFF2-40B4-BE49-F238E27FC236}">
              <a16:creationId xmlns:a16="http://schemas.microsoft.com/office/drawing/2014/main" id="{DAECA2FE-A966-4FE1-AAAA-8C1D28AB75BA}"/>
            </a:ext>
          </a:extLst>
        </xdr:cNvPr>
        <xdr:cNvSpPr/>
      </xdr:nvSpPr>
      <xdr:spPr>
        <a:xfrm>
          <a:off x="3295650" y="23393400"/>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a:t>
          </a:r>
          <a:endParaRPr lang="en-US" sz="1100"/>
        </a:p>
      </xdr:txBody>
    </xdr:sp>
    <xdr:clientData/>
  </xdr:twoCellAnchor>
  <xdr:twoCellAnchor>
    <xdr:from>
      <xdr:col>9</xdr:col>
      <xdr:colOff>419100</xdr:colOff>
      <xdr:row>117</xdr:row>
      <xdr:rowOff>85725</xdr:rowOff>
    </xdr:from>
    <xdr:to>
      <xdr:col>13</xdr:col>
      <xdr:colOff>390525</xdr:colOff>
      <xdr:row>119</xdr:row>
      <xdr:rowOff>133350</xdr:rowOff>
    </xdr:to>
    <xdr:sp macro="" textlink="">
      <xdr:nvSpPr>
        <xdr:cNvPr id="120" name="Rectangle 119">
          <a:hlinkClick xmlns:r="http://schemas.openxmlformats.org/officeDocument/2006/relationships" r:id="rId3"/>
          <a:extLst>
            <a:ext uri="{FF2B5EF4-FFF2-40B4-BE49-F238E27FC236}">
              <a16:creationId xmlns:a16="http://schemas.microsoft.com/office/drawing/2014/main" id="{00024D00-BA48-4CFB-ACA8-7F02FB191FC5}"/>
            </a:ext>
          </a:extLst>
        </xdr:cNvPr>
        <xdr:cNvSpPr/>
      </xdr:nvSpPr>
      <xdr:spPr>
        <a:xfrm>
          <a:off x="5905500" y="23221950"/>
          <a:ext cx="2409825" cy="428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https://events.acmaweb.org/website/73353/</a:t>
          </a:r>
          <a:endParaRPr lang="en-US" sz="1100"/>
        </a:p>
      </xdr:txBody>
    </xdr:sp>
    <xdr:clientData/>
  </xdr:twoCellAnchor>
  <xdr:twoCellAnchor>
    <xdr:from>
      <xdr:col>10</xdr:col>
      <xdr:colOff>57150</xdr:colOff>
      <xdr:row>81</xdr:row>
      <xdr:rowOff>9525</xdr:rowOff>
    </xdr:from>
    <xdr:to>
      <xdr:col>13</xdr:col>
      <xdr:colOff>552450</xdr:colOff>
      <xdr:row>84</xdr:row>
      <xdr:rowOff>104774</xdr:rowOff>
    </xdr:to>
    <xdr:sp macro="" textlink="">
      <xdr:nvSpPr>
        <xdr:cNvPr id="122" name="Rectangle 121">
          <a:extLst>
            <a:ext uri="{FF2B5EF4-FFF2-40B4-BE49-F238E27FC236}">
              <a16:creationId xmlns:a16="http://schemas.microsoft.com/office/drawing/2014/main" id="{8B9C881F-18AA-4167-8959-FDCD2627A0BA}"/>
            </a:ext>
          </a:extLst>
        </xdr:cNvPr>
        <xdr:cNvSpPr/>
      </xdr:nvSpPr>
      <xdr:spPr>
        <a:xfrm>
          <a:off x="6153150" y="16240125"/>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This event was not attended due to late approval. Would be nice to attend next year</a:t>
          </a:r>
        </a:p>
      </xdr:txBody>
    </xdr:sp>
    <xdr:clientData/>
  </xdr:twoCellAnchor>
  <xdr:twoCellAnchor>
    <xdr:from>
      <xdr:col>10</xdr:col>
      <xdr:colOff>66675</xdr:colOff>
      <xdr:row>2</xdr:row>
      <xdr:rowOff>104775</xdr:rowOff>
    </xdr:from>
    <xdr:to>
      <xdr:col>13</xdr:col>
      <xdr:colOff>561975</xdr:colOff>
      <xdr:row>6</xdr:row>
      <xdr:rowOff>9524</xdr:rowOff>
    </xdr:to>
    <xdr:sp macro="" textlink="">
      <xdr:nvSpPr>
        <xdr:cNvPr id="123" name="Rectangle 122">
          <a:extLst>
            <a:ext uri="{FF2B5EF4-FFF2-40B4-BE49-F238E27FC236}">
              <a16:creationId xmlns:a16="http://schemas.microsoft.com/office/drawing/2014/main" id="{246DE35E-5669-42E9-A26B-3D990898F9D9}"/>
            </a:ext>
          </a:extLst>
        </xdr:cNvPr>
        <xdr:cNvSpPr/>
      </xdr:nvSpPr>
      <xdr:spPr>
        <a:xfrm>
          <a:off x="6162675" y="866775"/>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Bob Mancini attended but</a:t>
          </a:r>
          <a:r>
            <a:rPr lang="en-US" sz="1100" baseline="0">
              <a:solidFill>
                <a:schemeClr val="tx1"/>
              </a:solidFill>
            </a:rPr>
            <a:t> is no longer with the company to know how the event went.</a:t>
          </a:r>
          <a:endParaRPr lang="en-US" sz="1100">
            <a:solidFill>
              <a:schemeClr val="tx1"/>
            </a:solidFill>
          </a:endParaRPr>
        </a:p>
      </xdr:txBody>
    </xdr:sp>
    <xdr:clientData/>
  </xdr:twoCellAnchor>
  <xdr:twoCellAnchor>
    <xdr:from>
      <xdr:col>0</xdr:col>
      <xdr:colOff>95250</xdr:colOff>
      <xdr:row>124</xdr:row>
      <xdr:rowOff>95250</xdr:rowOff>
    </xdr:from>
    <xdr:to>
      <xdr:col>0</xdr:col>
      <xdr:colOff>438150</xdr:colOff>
      <xdr:row>126</xdr:row>
      <xdr:rowOff>28575</xdr:rowOff>
    </xdr:to>
    <xdr:sp macro="" textlink="">
      <xdr:nvSpPr>
        <xdr:cNvPr id="32" name="Star: 5 Points 31">
          <a:extLst>
            <a:ext uri="{FF2B5EF4-FFF2-40B4-BE49-F238E27FC236}">
              <a16:creationId xmlns:a16="http://schemas.microsoft.com/office/drawing/2014/main" id="{1B354184-1BA1-4845-81C9-202A44CC86C1}"/>
            </a:ext>
          </a:extLst>
        </xdr:cNvPr>
        <xdr:cNvSpPr/>
      </xdr:nvSpPr>
      <xdr:spPr>
        <a:xfrm>
          <a:off x="95250" y="1652587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124</xdr:row>
      <xdr:rowOff>114300</xdr:rowOff>
    </xdr:from>
    <xdr:to>
      <xdr:col>1</xdr:col>
      <xdr:colOff>247650</xdr:colOff>
      <xdr:row>126</xdr:row>
      <xdr:rowOff>47625</xdr:rowOff>
    </xdr:to>
    <xdr:sp macro="" textlink="">
      <xdr:nvSpPr>
        <xdr:cNvPr id="50" name="Star: 5 Points 49">
          <a:extLst>
            <a:ext uri="{FF2B5EF4-FFF2-40B4-BE49-F238E27FC236}">
              <a16:creationId xmlns:a16="http://schemas.microsoft.com/office/drawing/2014/main" id="{44CC2AEE-23D6-4BC3-B405-D2F4C3E1F925}"/>
            </a:ext>
          </a:extLst>
        </xdr:cNvPr>
        <xdr:cNvSpPr/>
      </xdr:nvSpPr>
      <xdr:spPr>
        <a:xfrm>
          <a:off x="514350" y="1654492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124</xdr:row>
      <xdr:rowOff>114300</xdr:rowOff>
    </xdr:from>
    <xdr:to>
      <xdr:col>2</xdr:col>
      <xdr:colOff>76200</xdr:colOff>
      <xdr:row>126</xdr:row>
      <xdr:rowOff>47625</xdr:rowOff>
    </xdr:to>
    <xdr:sp macro="" textlink="">
      <xdr:nvSpPr>
        <xdr:cNvPr id="51" name="Star: 5 Points 50">
          <a:extLst>
            <a:ext uri="{FF2B5EF4-FFF2-40B4-BE49-F238E27FC236}">
              <a16:creationId xmlns:a16="http://schemas.microsoft.com/office/drawing/2014/main" id="{E00209C8-F60E-4F36-9342-4C843A3C0A4C}"/>
            </a:ext>
          </a:extLst>
        </xdr:cNvPr>
        <xdr:cNvSpPr/>
      </xdr:nvSpPr>
      <xdr:spPr>
        <a:xfrm>
          <a:off x="952500" y="1654492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124</xdr:row>
      <xdr:rowOff>114300</xdr:rowOff>
    </xdr:from>
    <xdr:to>
      <xdr:col>2</xdr:col>
      <xdr:colOff>523875</xdr:colOff>
      <xdr:row>126</xdr:row>
      <xdr:rowOff>47625</xdr:rowOff>
    </xdr:to>
    <xdr:sp macro="" textlink="">
      <xdr:nvSpPr>
        <xdr:cNvPr id="52" name="Star: 5 Points 51">
          <a:extLst>
            <a:ext uri="{FF2B5EF4-FFF2-40B4-BE49-F238E27FC236}">
              <a16:creationId xmlns:a16="http://schemas.microsoft.com/office/drawing/2014/main" id="{CCC5F9C4-E64A-4285-A9AA-7FE689CE15A1}"/>
            </a:ext>
          </a:extLst>
        </xdr:cNvPr>
        <xdr:cNvSpPr/>
      </xdr:nvSpPr>
      <xdr:spPr>
        <a:xfrm>
          <a:off x="1400175" y="1654492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124</xdr:row>
      <xdr:rowOff>123825</xdr:rowOff>
    </xdr:from>
    <xdr:to>
      <xdr:col>3</xdr:col>
      <xdr:colOff>342900</xdr:colOff>
      <xdr:row>126</xdr:row>
      <xdr:rowOff>57150</xdr:rowOff>
    </xdr:to>
    <xdr:sp macro="" textlink="">
      <xdr:nvSpPr>
        <xdr:cNvPr id="53" name="Star: 5 Points 52">
          <a:extLst>
            <a:ext uri="{FF2B5EF4-FFF2-40B4-BE49-F238E27FC236}">
              <a16:creationId xmlns:a16="http://schemas.microsoft.com/office/drawing/2014/main" id="{1E02BE39-5223-46A4-AFF5-FBDB155C9674}"/>
            </a:ext>
          </a:extLst>
        </xdr:cNvPr>
        <xdr:cNvSpPr/>
      </xdr:nvSpPr>
      <xdr:spPr>
        <a:xfrm>
          <a:off x="1828800" y="16554450"/>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128</xdr:row>
      <xdr:rowOff>57151</xdr:rowOff>
    </xdr:from>
    <xdr:to>
      <xdr:col>4</xdr:col>
      <xdr:colOff>57150</xdr:colOff>
      <xdr:row>132</xdr:row>
      <xdr:rowOff>123825</xdr:rowOff>
    </xdr:to>
    <xdr:sp macro="" textlink="">
      <xdr:nvSpPr>
        <xdr:cNvPr id="54" name="Rectangle 53">
          <a:extLst>
            <a:ext uri="{FF2B5EF4-FFF2-40B4-BE49-F238E27FC236}">
              <a16:creationId xmlns:a16="http://schemas.microsoft.com/office/drawing/2014/main" id="{C9EFDDDE-D9BE-4B57-81F0-82BB98C8F11E}"/>
            </a:ext>
          </a:extLst>
        </xdr:cNvPr>
        <xdr:cNvSpPr/>
      </xdr:nvSpPr>
      <xdr:spPr>
        <a:xfrm>
          <a:off x="85725" y="25469851"/>
          <a:ext cx="2409825" cy="83819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The Alumus family of companies is sponsoring this year's Heart Walk - Please join us as we represent – ALANTE, ALECA, &amp; SANTE </a:t>
          </a:r>
          <a:endParaRPr lang="en-US" sz="1100"/>
        </a:p>
      </xdr:txBody>
    </xdr:sp>
    <xdr:clientData/>
  </xdr:twoCellAnchor>
  <xdr:twoCellAnchor>
    <xdr:from>
      <xdr:col>0</xdr:col>
      <xdr:colOff>85725</xdr:colOff>
      <xdr:row>134</xdr:row>
      <xdr:rowOff>76201</xdr:rowOff>
    </xdr:from>
    <xdr:to>
      <xdr:col>4</xdr:col>
      <xdr:colOff>57150</xdr:colOff>
      <xdr:row>138</xdr:row>
      <xdr:rowOff>38101</xdr:rowOff>
    </xdr:to>
    <xdr:sp macro="" textlink="">
      <xdr:nvSpPr>
        <xdr:cNvPr id="55" name="Rectangle 54">
          <a:extLst>
            <a:ext uri="{FF2B5EF4-FFF2-40B4-BE49-F238E27FC236}">
              <a16:creationId xmlns:a16="http://schemas.microsoft.com/office/drawing/2014/main" id="{355B171C-ACB5-46C3-B395-B60B277CBA13}"/>
            </a:ext>
          </a:extLst>
        </xdr:cNvPr>
        <xdr:cNvSpPr/>
      </xdr:nvSpPr>
      <xdr:spPr>
        <a:xfrm>
          <a:off x="85725" y="18440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We had a good turnout from our</a:t>
          </a:r>
          <a:r>
            <a:rPr lang="en-US" sz="1100" baseline="0"/>
            <a:t> team; Alumus, Sante, Aleca, Alante</a:t>
          </a:r>
          <a:endParaRPr lang="en-US" sz="1100"/>
        </a:p>
      </xdr:txBody>
    </xdr:sp>
    <xdr:clientData/>
  </xdr:twoCellAnchor>
  <xdr:twoCellAnchor>
    <xdr:from>
      <xdr:col>0</xdr:col>
      <xdr:colOff>104775</xdr:colOff>
      <xdr:row>140</xdr:row>
      <xdr:rowOff>123825</xdr:rowOff>
    </xdr:from>
    <xdr:to>
      <xdr:col>4</xdr:col>
      <xdr:colOff>485775</xdr:colOff>
      <xdr:row>149</xdr:row>
      <xdr:rowOff>9525</xdr:rowOff>
    </xdr:to>
    <xdr:sp macro="" textlink="">
      <xdr:nvSpPr>
        <xdr:cNvPr id="56" name="Rectangle 55">
          <a:extLst>
            <a:ext uri="{FF2B5EF4-FFF2-40B4-BE49-F238E27FC236}">
              <a16:creationId xmlns:a16="http://schemas.microsoft.com/office/drawing/2014/main" id="{75D2F8B1-36FA-4521-BC25-88401EF069D7}"/>
            </a:ext>
          </a:extLst>
        </xdr:cNvPr>
        <xdr:cNvSpPr/>
      </xdr:nvSpPr>
      <xdr:spPr>
        <a:xfrm>
          <a:off x="104775" y="27851100"/>
          <a:ext cx="2819400"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We only raised a total of $1,018 as a company.</a:t>
          </a:r>
          <a:r>
            <a:rPr lang="en-US" sz="1100" baseline="0"/>
            <a:t> Would be nice if we raised more for the next year. And while we had 27 staff come and walk, we could have more! Lot's of people signed up but didn't show up! Maybe incentivize people to donate? i.e. every $20 you donate is a raffle ticket?...</a:t>
          </a:r>
          <a:endParaRPr lang="en-US" sz="1100"/>
        </a:p>
      </xdr:txBody>
    </xdr:sp>
    <xdr:clientData/>
  </xdr:twoCellAnchor>
  <xdr:twoCellAnchor>
    <xdr:from>
      <xdr:col>4</xdr:col>
      <xdr:colOff>590550</xdr:colOff>
      <xdr:row>128</xdr:row>
      <xdr:rowOff>104775</xdr:rowOff>
    </xdr:from>
    <xdr:to>
      <xdr:col>8</xdr:col>
      <xdr:colOff>561975</xdr:colOff>
      <xdr:row>130</xdr:row>
      <xdr:rowOff>171450</xdr:rowOff>
    </xdr:to>
    <xdr:sp macro="" textlink="">
      <xdr:nvSpPr>
        <xdr:cNvPr id="59" name="Rectangle 58">
          <a:extLst>
            <a:ext uri="{FF2B5EF4-FFF2-40B4-BE49-F238E27FC236}">
              <a16:creationId xmlns:a16="http://schemas.microsoft.com/office/drawing/2014/main" id="{2CCAA1F7-4FB3-4771-B0AE-5DC739FA1A11}"/>
            </a:ext>
          </a:extLst>
        </xdr:cNvPr>
        <xdr:cNvSpPr/>
      </xdr:nvSpPr>
      <xdr:spPr>
        <a:xfrm>
          <a:off x="3028950" y="19621500"/>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Kerri Cummiskey</a:t>
          </a:r>
        </a:p>
      </xdr:txBody>
    </xdr:sp>
    <xdr:clientData/>
  </xdr:twoCellAnchor>
  <xdr:twoCellAnchor>
    <xdr:from>
      <xdr:col>4</xdr:col>
      <xdr:colOff>581026</xdr:colOff>
      <xdr:row>132</xdr:row>
      <xdr:rowOff>104775</xdr:rowOff>
    </xdr:from>
    <xdr:to>
      <xdr:col>7</xdr:col>
      <xdr:colOff>133350</xdr:colOff>
      <xdr:row>134</xdr:row>
      <xdr:rowOff>57150</xdr:rowOff>
    </xdr:to>
    <xdr:sp macro="" textlink="">
      <xdr:nvSpPr>
        <xdr:cNvPr id="60" name="Rectangle 59">
          <a:extLst>
            <a:ext uri="{FF2B5EF4-FFF2-40B4-BE49-F238E27FC236}">
              <a16:creationId xmlns:a16="http://schemas.microsoft.com/office/drawing/2014/main" id="{290CC833-A500-4431-8688-A1782FF838B6}"/>
            </a:ext>
          </a:extLst>
        </xdr:cNvPr>
        <xdr:cNvSpPr/>
      </xdr:nvSpPr>
      <xdr:spPr>
        <a:xfrm>
          <a:off x="3019426" y="28594050"/>
          <a:ext cx="138112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27</a:t>
          </a:r>
          <a:r>
            <a:rPr lang="en-US" sz="1100" baseline="0"/>
            <a:t> Staff Members</a:t>
          </a:r>
          <a:endParaRPr lang="en-US" sz="1100"/>
        </a:p>
        <a:p>
          <a:pPr algn="l"/>
          <a:endParaRPr lang="en-US" sz="1100"/>
        </a:p>
      </xdr:txBody>
    </xdr:sp>
    <xdr:clientData/>
  </xdr:twoCellAnchor>
  <xdr:twoCellAnchor>
    <xdr:from>
      <xdr:col>9</xdr:col>
      <xdr:colOff>428625</xdr:colOff>
      <xdr:row>128</xdr:row>
      <xdr:rowOff>19049</xdr:rowOff>
    </xdr:from>
    <xdr:to>
      <xdr:col>13</xdr:col>
      <xdr:colOff>400050</xdr:colOff>
      <xdr:row>146</xdr:row>
      <xdr:rowOff>123825</xdr:rowOff>
    </xdr:to>
    <xdr:sp macro="" textlink="">
      <xdr:nvSpPr>
        <xdr:cNvPr id="61" name="Rectangle 60">
          <a:extLst>
            <a:ext uri="{FF2B5EF4-FFF2-40B4-BE49-F238E27FC236}">
              <a16:creationId xmlns:a16="http://schemas.microsoft.com/office/drawing/2014/main" id="{BC22C9E2-3936-4520-ABFD-8E6DDB268728}"/>
            </a:ext>
          </a:extLst>
        </xdr:cNvPr>
        <xdr:cNvSpPr/>
      </xdr:nvSpPr>
      <xdr:spPr>
        <a:xfrm>
          <a:off x="5915025" y="25431749"/>
          <a:ext cx="2409825" cy="3562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fontAlgn="base"/>
          <a:r>
            <a:rPr lang="en-US" sz="1100" b="0" i="0">
              <a:solidFill>
                <a:schemeClr val="lt1"/>
              </a:solidFill>
              <a:effectLst/>
              <a:latin typeface="+mn-lt"/>
              <a:ea typeface="+mn-ea"/>
              <a:cs typeface="+mn-cs"/>
            </a:rPr>
            <a:t>9 out of 10 people who suffer cardiac arrest outside the hospital die. In most of those cases, bystander CPR was not performed. But we can change this. ​</a:t>
          </a:r>
        </a:p>
        <a:p>
          <a:pPr fontAlgn="base"/>
          <a:r>
            <a:rPr lang="en-US" sz="1100" b="0" i="0">
              <a:solidFill>
                <a:schemeClr val="lt1"/>
              </a:solidFill>
              <a:effectLst/>
              <a:latin typeface="+mn-lt"/>
              <a:ea typeface="+mn-ea"/>
              <a:cs typeface="+mn-cs"/>
            </a:rPr>
            <a:t> </a:t>
          </a:r>
        </a:p>
        <a:p>
          <a:pPr fontAlgn="base"/>
          <a:r>
            <a:rPr lang="en-US" sz="1100" b="0" i="0">
              <a:solidFill>
                <a:schemeClr val="lt1"/>
              </a:solidFill>
              <a:effectLst/>
              <a:latin typeface="+mn-lt"/>
              <a:ea typeface="+mn-ea"/>
              <a:cs typeface="+mn-cs"/>
            </a:rPr>
            <a:t>Cardiac arrests happen at work, in homes, on athletic fields and in neighborhoods everywhere, and the readiness of our community can be the difference between life and death. ​</a:t>
          </a:r>
        </a:p>
        <a:p>
          <a:pPr fontAlgn="base"/>
          <a:r>
            <a:rPr lang="en-US" sz="1100" b="0" i="0">
              <a:solidFill>
                <a:schemeClr val="lt1"/>
              </a:solidFill>
              <a:effectLst/>
              <a:latin typeface="+mn-lt"/>
              <a:ea typeface="+mn-ea"/>
              <a:cs typeface="+mn-cs"/>
            </a:rPr>
            <a:t> </a:t>
          </a:r>
        </a:p>
        <a:p>
          <a:pPr fontAlgn="base"/>
          <a:r>
            <a:rPr lang="en-US" sz="1100" b="0" i="0">
              <a:solidFill>
                <a:schemeClr val="lt1"/>
              </a:solidFill>
              <a:effectLst/>
              <a:latin typeface="+mn-lt"/>
              <a:ea typeface="+mn-ea"/>
              <a:cs typeface="+mn-cs"/>
            </a:rPr>
            <a:t>It's time to unite, take action, and save lives. Every dollar donated, means more people trained in lifesaving CPR, more research and more lifesaving moments for everyone. Together, we can turn bystanders into lifesavers.​</a:t>
          </a:r>
        </a:p>
        <a:p>
          <a:pPr fontAlgn="base"/>
          <a:r>
            <a:rPr lang="en-US" sz="1100" b="0" i="0">
              <a:solidFill>
                <a:schemeClr val="lt1"/>
              </a:solidFill>
              <a:effectLst/>
              <a:latin typeface="+mn-lt"/>
              <a:ea typeface="+mn-ea"/>
              <a:cs typeface="+mn-cs"/>
            </a:rPr>
            <a:t> </a:t>
          </a:r>
        </a:p>
        <a:p>
          <a:pPr fontAlgn="base"/>
          <a:r>
            <a:rPr lang="en-US" sz="1100" b="0" i="0">
              <a:solidFill>
                <a:schemeClr val="lt1"/>
              </a:solidFill>
              <a:effectLst/>
              <a:latin typeface="+mn-lt"/>
              <a:ea typeface="+mn-ea"/>
              <a:cs typeface="+mn-cs"/>
            </a:rPr>
            <a:t>I Walk to Save Lives. Help me reach my goal today.​</a:t>
          </a:r>
        </a:p>
        <a:p>
          <a:pPr algn="l"/>
          <a:endParaRPr lang="en-US" sz="1100"/>
        </a:p>
      </xdr:txBody>
    </xdr:sp>
    <xdr:clientData/>
  </xdr:twoCellAnchor>
  <xdr:twoCellAnchor>
    <xdr:from>
      <xdr:col>5</xdr:col>
      <xdr:colOff>0</xdr:colOff>
      <xdr:row>136</xdr:row>
      <xdr:rowOff>19050</xdr:rowOff>
    </xdr:from>
    <xdr:to>
      <xdr:col>9</xdr:col>
      <xdr:colOff>238125</xdr:colOff>
      <xdr:row>138</xdr:row>
      <xdr:rowOff>0</xdr:rowOff>
    </xdr:to>
    <xdr:sp macro="" textlink="">
      <xdr:nvSpPr>
        <xdr:cNvPr id="63" name="Rectangle 62">
          <a:extLst>
            <a:ext uri="{FF2B5EF4-FFF2-40B4-BE49-F238E27FC236}">
              <a16:creationId xmlns:a16="http://schemas.microsoft.com/office/drawing/2014/main" id="{15894EB2-B8B2-4951-980F-97CB9D8C93D4}"/>
            </a:ext>
          </a:extLst>
        </xdr:cNvPr>
        <xdr:cNvSpPr/>
      </xdr:nvSpPr>
      <xdr:spPr>
        <a:xfrm>
          <a:off x="3048000" y="29270325"/>
          <a:ext cx="2676525" cy="3619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Everyone; Friends, Family, Co-Workers</a:t>
          </a:r>
          <a:endParaRPr lang="en-US" sz="1100"/>
        </a:p>
      </xdr:txBody>
    </xdr:sp>
    <xdr:clientData/>
  </xdr:twoCellAnchor>
  <xdr:twoCellAnchor>
    <xdr:from>
      <xdr:col>5</xdr:col>
      <xdr:colOff>28575</xdr:colOff>
      <xdr:row>140</xdr:row>
      <xdr:rowOff>76200</xdr:rowOff>
    </xdr:from>
    <xdr:to>
      <xdr:col>9</xdr:col>
      <xdr:colOff>0</xdr:colOff>
      <xdr:row>143</xdr:row>
      <xdr:rowOff>133350</xdr:rowOff>
    </xdr:to>
    <xdr:sp macro="" textlink="">
      <xdr:nvSpPr>
        <xdr:cNvPr id="65" name="Rectangle 64">
          <a:hlinkClick xmlns:r="http://schemas.openxmlformats.org/officeDocument/2006/relationships" r:id="rId4"/>
          <a:extLst>
            <a:ext uri="{FF2B5EF4-FFF2-40B4-BE49-F238E27FC236}">
              <a16:creationId xmlns:a16="http://schemas.microsoft.com/office/drawing/2014/main" id="{F788E457-9F4B-49CB-81CE-97C6596BF450}"/>
            </a:ext>
          </a:extLst>
        </xdr:cNvPr>
        <xdr:cNvSpPr/>
      </xdr:nvSpPr>
      <xdr:spPr>
        <a:xfrm>
          <a:off x="3076575" y="30089475"/>
          <a:ext cx="2409825" cy="6286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2025 Phoenix Heart Walk: Jessica Schlothauer - Heart Walk - American Heart Association</a:t>
          </a:r>
          <a:endParaRPr lang="en-US" sz="1100">
            <a:solidFill>
              <a:schemeClr val="bg1"/>
            </a:solidFill>
          </a:endParaRPr>
        </a:p>
      </xdr:txBody>
    </xdr:sp>
    <xdr:clientData/>
  </xdr:twoCellAnchor>
  <xdr:twoCellAnchor editAs="oneCell">
    <xdr:from>
      <xdr:col>4</xdr:col>
      <xdr:colOff>600075</xdr:colOff>
      <xdr:row>143</xdr:row>
      <xdr:rowOff>180974</xdr:rowOff>
    </xdr:from>
    <xdr:to>
      <xdr:col>9</xdr:col>
      <xdr:colOff>28575</xdr:colOff>
      <xdr:row>161</xdr:row>
      <xdr:rowOff>53974</xdr:rowOff>
    </xdr:to>
    <xdr:pic>
      <xdr:nvPicPr>
        <xdr:cNvPr id="67" name="Picture 66">
          <a:extLst>
            <a:ext uri="{FF2B5EF4-FFF2-40B4-BE49-F238E27FC236}">
              <a16:creationId xmlns:a16="http://schemas.microsoft.com/office/drawing/2014/main" id="{D115F160-91F9-A281-AA16-005A1BF7CB7F}"/>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038475" y="28479749"/>
          <a:ext cx="2476500" cy="330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47625</xdr:colOff>
      <xdr:row>146</xdr:row>
      <xdr:rowOff>130174</xdr:rowOff>
    </xdr:from>
    <xdr:to>
      <xdr:col>4</xdr:col>
      <xdr:colOff>285750</xdr:colOff>
      <xdr:row>161</xdr:row>
      <xdr:rowOff>28573</xdr:rowOff>
    </xdr:to>
    <xdr:pic>
      <xdr:nvPicPr>
        <xdr:cNvPr id="68" name="Picture 67">
          <a:extLst>
            <a:ext uri="{FF2B5EF4-FFF2-40B4-BE49-F238E27FC236}">
              <a16:creationId xmlns:a16="http://schemas.microsoft.com/office/drawing/2014/main" id="{9B156F6A-C84E-881C-6CAC-AEAEB82F2D6A}"/>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57225" y="29000449"/>
          <a:ext cx="2066925" cy="2755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57150</xdr:colOff>
      <xdr:row>147</xdr:row>
      <xdr:rowOff>190499</xdr:rowOff>
    </xdr:from>
    <xdr:to>
      <xdr:col>13</xdr:col>
      <xdr:colOff>409721</xdr:colOff>
      <xdr:row>158</xdr:row>
      <xdr:rowOff>142874</xdr:rowOff>
    </xdr:to>
    <xdr:pic>
      <xdr:nvPicPr>
        <xdr:cNvPr id="69" name="Picture 68">
          <a:extLst>
            <a:ext uri="{FF2B5EF4-FFF2-40B4-BE49-F238E27FC236}">
              <a16:creationId xmlns:a16="http://schemas.microsoft.com/office/drawing/2014/main" id="{CC2E903C-039D-73EB-5D30-E76329E07297}"/>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543550" y="29251274"/>
          <a:ext cx="2790971" cy="2047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95250</xdr:colOff>
      <xdr:row>165</xdr:row>
      <xdr:rowOff>95250</xdr:rowOff>
    </xdr:from>
    <xdr:to>
      <xdr:col>0</xdr:col>
      <xdr:colOff>438150</xdr:colOff>
      <xdr:row>167</xdr:row>
      <xdr:rowOff>28575</xdr:rowOff>
    </xdr:to>
    <xdr:sp macro="" textlink="">
      <xdr:nvSpPr>
        <xdr:cNvPr id="70" name="Star: 5 Points 69">
          <a:extLst>
            <a:ext uri="{FF2B5EF4-FFF2-40B4-BE49-F238E27FC236}">
              <a16:creationId xmlns:a16="http://schemas.microsoft.com/office/drawing/2014/main" id="{77B57323-AFB0-44A5-ACA0-7B759CB6AAA9}"/>
            </a:ext>
          </a:extLst>
        </xdr:cNvPr>
        <xdr:cNvSpPr/>
      </xdr:nvSpPr>
      <xdr:spPr>
        <a:xfrm>
          <a:off x="95250" y="165258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165</xdr:row>
      <xdr:rowOff>114300</xdr:rowOff>
    </xdr:from>
    <xdr:to>
      <xdr:col>1</xdr:col>
      <xdr:colOff>247650</xdr:colOff>
      <xdr:row>167</xdr:row>
      <xdr:rowOff>47625</xdr:rowOff>
    </xdr:to>
    <xdr:sp macro="" textlink="">
      <xdr:nvSpPr>
        <xdr:cNvPr id="71" name="Star: 5 Points 70">
          <a:extLst>
            <a:ext uri="{FF2B5EF4-FFF2-40B4-BE49-F238E27FC236}">
              <a16:creationId xmlns:a16="http://schemas.microsoft.com/office/drawing/2014/main" id="{3C3F3675-E237-4F59-85E9-1E502C30DCE2}"/>
            </a:ext>
          </a:extLst>
        </xdr:cNvPr>
        <xdr:cNvSpPr/>
      </xdr:nvSpPr>
      <xdr:spPr>
        <a:xfrm>
          <a:off x="514350"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165</xdr:row>
      <xdr:rowOff>114300</xdr:rowOff>
    </xdr:from>
    <xdr:to>
      <xdr:col>2</xdr:col>
      <xdr:colOff>76200</xdr:colOff>
      <xdr:row>167</xdr:row>
      <xdr:rowOff>47625</xdr:rowOff>
    </xdr:to>
    <xdr:sp macro="" textlink="">
      <xdr:nvSpPr>
        <xdr:cNvPr id="72" name="Star: 5 Points 71">
          <a:extLst>
            <a:ext uri="{FF2B5EF4-FFF2-40B4-BE49-F238E27FC236}">
              <a16:creationId xmlns:a16="http://schemas.microsoft.com/office/drawing/2014/main" id="{65F05824-28B9-46AE-BD3D-985CC6C1B9C1}"/>
            </a:ext>
          </a:extLst>
        </xdr:cNvPr>
        <xdr:cNvSpPr/>
      </xdr:nvSpPr>
      <xdr:spPr>
        <a:xfrm>
          <a:off x="952500"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165</xdr:row>
      <xdr:rowOff>114300</xdr:rowOff>
    </xdr:from>
    <xdr:to>
      <xdr:col>2</xdr:col>
      <xdr:colOff>523875</xdr:colOff>
      <xdr:row>167</xdr:row>
      <xdr:rowOff>47625</xdr:rowOff>
    </xdr:to>
    <xdr:sp macro="" textlink="">
      <xdr:nvSpPr>
        <xdr:cNvPr id="73" name="Star: 5 Points 72">
          <a:extLst>
            <a:ext uri="{FF2B5EF4-FFF2-40B4-BE49-F238E27FC236}">
              <a16:creationId xmlns:a16="http://schemas.microsoft.com/office/drawing/2014/main" id="{587FD2BD-0448-4871-AE59-1C5E85642A7C}"/>
            </a:ext>
          </a:extLst>
        </xdr:cNvPr>
        <xdr:cNvSpPr/>
      </xdr:nvSpPr>
      <xdr:spPr>
        <a:xfrm>
          <a:off x="1400175"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165</xdr:row>
      <xdr:rowOff>123825</xdr:rowOff>
    </xdr:from>
    <xdr:to>
      <xdr:col>3</xdr:col>
      <xdr:colOff>342900</xdr:colOff>
      <xdr:row>167</xdr:row>
      <xdr:rowOff>57150</xdr:rowOff>
    </xdr:to>
    <xdr:sp macro="" textlink="">
      <xdr:nvSpPr>
        <xdr:cNvPr id="74" name="Star: 5 Points 73">
          <a:extLst>
            <a:ext uri="{FF2B5EF4-FFF2-40B4-BE49-F238E27FC236}">
              <a16:creationId xmlns:a16="http://schemas.microsoft.com/office/drawing/2014/main" id="{7FB4114D-6FB9-474C-AAD8-441722773403}"/>
            </a:ext>
          </a:extLst>
        </xdr:cNvPr>
        <xdr:cNvSpPr/>
      </xdr:nvSpPr>
      <xdr:spPr>
        <a:xfrm>
          <a:off x="1828800" y="165544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169</xdr:row>
      <xdr:rowOff>57151</xdr:rowOff>
    </xdr:from>
    <xdr:to>
      <xdr:col>4</xdr:col>
      <xdr:colOff>57150</xdr:colOff>
      <xdr:row>173</xdr:row>
      <xdr:rowOff>9526</xdr:rowOff>
    </xdr:to>
    <xdr:sp macro="" textlink="">
      <xdr:nvSpPr>
        <xdr:cNvPr id="75" name="Rectangle 74">
          <a:extLst>
            <a:ext uri="{FF2B5EF4-FFF2-40B4-BE49-F238E27FC236}">
              <a16:creationId xmlns:a16="http://schemas.microsoft.com/office/drawing/2014/main" id="{1CD9C22A-7399-4DAF-A8E6-5429F5D51610}"/>
            </a:ext>
          </a:extLst>
        </xdr:cNvPr>
        <xdr:cNvSpPr/>
      </xdr:nvSpPr>
      <xdr:spPr>
        <a:xfrm>
          <a:off x="85725" y="17259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175</xdr:row>
      <xdr:rowOff>76201</xdr:rowOff>
    </xdr:from>
    <xdr:to>
      <xdr:col>4</xdr:col>
      <xdr:colOff>57150</xdr:colOff>
      <xdr:row>179</xdr:row>
      <xdr:rowOff>38101</xdr:rowOff>
    </xdr:to>
    <xdr:sp macro="" textlink="">
      <xdr:nvSpPr>
        <xdr:cNvPr id="76" name="Rectangle 75">
          <a:extLst>
            <a:ext uri="{FF2B5EF4-FFF2-40B4-BE49-F238E27FC236}">
              <a16:creationId xmlns:a16="http://schemas.microsoft.com/office/drawing/2014/main" id="{EAE00CFE-38AC-4D80-AAEC-53ED0F8E7134}"/>
            </a:ext>
          </a:extLst>
        </xdr:cNvPr>
        <xdr:cNvSpPr/>
      </xdr:nvSpPr>
      <xdr:spPr>
        <a:xfrm>
          <a:off x="85725" y="18440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181</xdr:row>
      <xdr:rowOff>123825</xdr:rowOff>
    </xdr:from>
    <xdr:to>
      <xdr:col>4</xdr:col>
      <xdr:colOff>76200</xdr:colOff>
      <xdr:row>190</xdr:row>
      <xdr:rowOff>9525</xdr:rowOff>
    </xdr:to>
    <xdr:sp macro="" textlink="">
      <xdr:nvSpPr>
        <xdr:cNvPr id="77" name="Rectangle 76">
          <a:extLst>
            <a:ext uri="{FF2B5EF4-FFF2-40B4-BE49-F238E27FC236}">
              <a16:creationId xmlns:a16="http://schemas.microsoft.com/office/drawing/2014/main" id="{AF033D34-A57C-478C-818B-A65A9C037FB1}"/>
            </a:ext>
          </a:extLst>
        </xdr:cNvPr>
        <xdr:cNvSpPr/>
      </xdr:nvSpPr>
      <xdr:spPr>
        <a:xfrm>
          <a:off x="104775" y="196405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169</xdr:row>
      <xdr:rowOff>38100</xdr:rowOff>
    </xdr:from>
    <xdr:to>
      <xdr:col>8</xdr:col>
      <xdr:colOff>561975</xdr:colOff>
      <xdr:row>171</xdr:row>
      <xdr:rowOff>161925</xdr:rowOff>
    </xdr:to>
    <xdr:sp macro="" textlink="">
      <xdr:nvSpPr>
        <xdr:cNvPr id="78" name="Rectangle 77">
          <a:extLst>
            <a:ext uri="{FF2B5EF4-FFF2-40B4-BE49-F238E27FC236}">
              <a16:creationId xmlns:a16="http://schemas.microsoft.com/office/drawing/2014/main" id="{3A196B30-26F8-4F39-88A1-4ED722B1FD43}"/>
            </a:ext>
          </a:extLst>
        </xdr:cNvPr>
        <xdr:cNvSpPr/>
      </xdr:nvSpPr>
      <xdr:spPr>
        <a:xfrm>
          <a:off x="3028950" y="172402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175</xdr:row>
      <xdr:rowOff>76201</xdr:rowOff>
    </xdr:from>
    <xdr:to>
      <xdr:col>8</xdr:col>
      <xdr:colOff>561975</xdr:colOff>
      <xdr:row>179</xdr:row>
      <xdr:rowOff>38101</xdr:rowOff>
    </xdr:to>
    <xdr:sp macro="" textlink="">
      <xdr:nvSpPr>
        <xdr:cNvPr id="79" name="Rectangle 78">
          <a:extLst>
            <a:ext uri="{FF2B5EF4-FFF2-40B4-BE49-F238E27FC236}">
              <a16:creationId xmlns:a16="http://schemas.microsoft.com/office/drawing/2014/main" id="{DEDF82BC-49DA-4C59-8E7C-6B1C2C1F81CE}"/>
            </a:ext>
          </a:extLst>
        </xdr:cNvPr>
        <xdr:cNvSpPr/>
      </xdr:nvSpPr>
      <xdr:spPr>
        <a:xfrm>
          <a:off x="3028950" y="18440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181</xdr:row>
      <xdr:rowOff>104775</xdr:rowOff>
    </xdr:from>
    <xdr:to>
      <xdr:col>9</xdr:col>
      <xdr:colOff>95250</xdr:colOff>
      <xdr:row>183</xdr:row>
      <xdr:rowOff>171450</xdr:rowOff>
    </xdr:to>
    <xdr:sp macro="" textlink="">
      <xdr:nvSpPr>
        <xdr:cNvPr id="80" name="Rectangle 79">
          <a:extLst>
            <a:ext uri="{FF2B5EF4-FFF2-40B4-BE49-F238E27FC236}">
              <a16:creationId xmlns:a16="http://schemas.microsoft.com/office/drawing/2014/main" id="{F9877218-C0A2-4A86-A97F-08719D89B5C7}"/>
            </a:ext>
          </a:extLst>
        </xdr:cNvPr>
        <xdr:cNvSpPr/>
      </xdr:nvSpPr>
      <xdr:spPr>
        <a:xfrm>
          <a:off x="3028950" y="35852100"/>
          <a:ext cx="2552700"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Kerri Cummiskey was the one who submitted the event. But not as</a:t>
          </a:r>
          <a:r>
            <a:rPr lang="en-US" sz="1100" baseline="0"/>
            <a:t> event lead</a:t>
          </a:r>
          <a:endParaRPr lang="en-US" sz="1100"/>
        </a:p>
      </xdr:txBody>
    </xdr:sp>
    <xdr:clientData/>
  </xdr:twoCellAnchor>
  <xdr:twoCellAnchor>
    <xdr:from>
      <xdr:col>4</xdr:col>
      <xdr:colOff>581025</xdr:colOff>
      <xdr:row>185</xdr:row>
      <xdr:rowOff>104775</xdr:rowOff>
    </xdr:from>
    <xdr:to>
      <xdr:col>6</xdr:col>
      <xdr:colOff>295274</xdr:colOff>
      <xdr:row>187</xdr:row>
      <xdr:rowOff>57150</xdr:rowOff>
    </xdr:to>
    <xdr:sp macro="" textlink="">
      <xdr:nvSpPr>
        <xdr:cNvPr id="81" name="Rectangle 80">
          <a:extLst>
            <a:ext uri="{FF2B5EF4-FFF2-40B4-BE49-F238E27FC236}">
              <a16:creationId xmlns:a16="http://schemas.microsoft.com/office/drawing/2014/main" id="{3269DA6C-D42D-4A58-97F3-BB38C0198D70}"/>
            </a:ext>
          </a:extLst>
        </xdr:cNvPr>
        <xdr:cNvSpPr/>
      </xdr:nvSpPr>
      <xdr:spPr>
        <a:xfrm>
          <a:off x="3019425" y="36614100"/>
          <a:ext cx="93344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a:p>
          <a:pPr algn="l"/>
          <a:endParaRPr lang="en-US" sz="1100"/>
        </a:p>
      </xdr:txBody>
    </xdr:sp>
    <xdr:clientData/>
  </xdr:twoCellAnchor>
  <xdr:twoCellAnchor>
    <xdr:from>
      <xdr:col>9</xdr:col>
      <xdr:colOff>333375</xdr:colOff>
      <xdr:row>169</xdr:row>
      <xdr:rowOff>28575</xdr:rowOff>
    </xdr:from>
    <xdr:to>
      <xdr:col>13</xdr:col>
      <xdr:colOff>400050</xdr:colOff>
      <xdr:row>205</xdr:row>
      <xdr:rowOff>28576</xdr:rowOff>
    </xdr:to>
    <xdr:sp macro="" textlink="">
      <xdr:nvSpPr>
        <xdr:cNvPr id="82" name="Rectangle 81">
          <a:extLst>
            <a:ext uri="{FF2B5EF4-FFF2-40B4-BE49-F238E27FC236}">
              <a16:creationId xmlns:a16="http://schemas.microsoft.com/office/drawing/2014/main" id="{B1389FCA-E5E8-4186-BF74-C86DBA2F8AD2}"/>
            </a:ext>
          </a:extLst>
        </xdr:cNvPr>
        <xdr:cNvSpPr/>
      </xdr:nvSpPr>
      <xdr:spPr>
        <a:xfrm>
          <a:off x="5819775" y="33461325"/>
          <a:ext cx="2505075" cy="68865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a:t>
          </a:r>
          <a:r>
            <a:rPr lang="en-US" sz="1100" b="0" i="0">
              <a:solidFill>
                <a:schemeClr val="lt1"/>
              </a:solidFill>
              <a:effectLst/>
              <a:latin typeface="+mn-lt"/>
              <a:ea typeface="+mn-ea"/>
              <a:cs typeface="+mn-cs"/>
            </a:rPr>
            <a:t>: The Population Health Summit is the </a:t>
          </a:r>
          <a:r>
            <a:rPr lang="en-US" sz="1100" b="0" i="1">
              <a:solidFill>
                <a:schemeClr val="lt1"/>
              </a:solidFill>
              <a:effectLst/>
              <a:latin typeface="+mn-lt"/>
              <a:ea typeface="+mn-ea"/>
              <a:cs typeface="+mn-cs"/>
            </a:rPr>
            <a:t>premier</a:t>
          </a:r>
          <a:r>
            <a:rPr lang="en-US" sz="1100" b="0" i="0">
              <a:solidFill>
                <a:schemeClr val="lt1"/>
              </a:solidFill>
              <a:effectLst/>
              <a:latin typeface="+mn-lt"/>
              <a:ea typeface="+mn-ea"/>
              <a:cs typeface="+mn-cs"/>
            </a:rPr>
            <a:t> event designed exclusively for long term care and post-acute care communities. With CMS driving the shift from fee-for-service (FFS) to accountable care arrangements, value-based care is no longer optional—it's</a:t>
          </a:r>
          <a:r>
            <a:rPr lang="en-US" sz="1100" b="0" i="0" baseline="0">
              <a:solidFill>
                <a:schemeClr val="lt1"/>
              </a:solidFill>
              <a:effectLst/>
              <a:latin typeface="+mn-lt"/>
              <a:ea typeface="+mn-ea"/>
              <a:cs typeface="+mn-cs"/>
            </a:rPr>
            <a:t> </a:t>
          </a:r>
          <a:r>
            <a:rPr lang="en-US" sz="1100" b="0" i="0">
              <a:solidFill>
                <a:schemeClr val="lt1"/>
              </a:solidFill>
              <a:effectLst/>
              <a:latin typeface="+mn-lt"/>
              <a:ea typeface="+mn-ea"/>
              <a:cs typeface="+mn-cs"/>
            </a:rPr>
            <a:t>essential. EDUCATION / NETWORKING</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Future-Forward Healthcare, I-SNPs, Med Advantage Plan Operations; Emerging Models; Legislative and Regulatory Updates</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Atlanta, Georgia</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Why attend? </a:t>
          </a:r>
        </a:p>
        <a:p>
          <a:pPr algn="l"/>
          <a:r>
            <a:rPr lang="en-US" sz="1100" b="0" i="0">
              <a:solidFill>
                <a:schemeClr val="lt1"/>
              </a:solidFill>
              <a:effectLst/>
              <a:latin typeface="+mn-lt"/>
              <a:ea typeface="+mn-ea"/>
              <a:cs typeface="+mn-cs"/>
            </a:rPr>
            <a:t>The PHM Summit is your go-to hub for innovation and thought leadership, offering a rich mix of sessions tailored for:</a:t>
          </a:r>
          <a:br>
            <a:rPr lang="en-US" b="0"/>
          </a:br>
          <a:r>
            <a:rPr lang="en-US" sz="1100" b="0" i="0">
              <a:solidFill>
                <a:schemeClr val="lt1"/>
              </a:solidFill>
              <a:effectLst/>
              <a:latin typeface="+mn-lt"/>
              <a:ea typeface="+mn-ea"/>
              <a:cs typeface="+mn-cs"/>
            </a:rPr>
            <a:t>✅ Newcomers seeking to better understand and navigate population health management (PHM)</a:t>
          </a:r>
          <a:br>
            <a:rPr lang="en-US" b="0"/>
          </a:br>
          <a:r>
            <a:rPr lang="en-US" sz="1100" b="0" i="0">
              <a:solidFill>
                <a:schemeClr val="lt1"/>
              </a:solidFill>
              <a:effectLst/>
              <a:latin typeface="+mn-lt"/>
              <a:ea typeface="+mn-ea"/>
              <a:cs typeface="+mn-cs"/>
            </a:rPr>
            <a:t>✅ Seasoned providers skilled in managing risk seeking new strategies for improving outcomes.</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Eligibility: </a:t>
          </a:r>
        </a:p>
        <a:p>
          <a:pPr algn="l"/>
          <a:r>
            <a:rPr lang="en-US" sz="1100" b="0" i="0">
              <a:solidFill>
                <a:schemeClr val="lt1"/>
              </a:solidFill>
              <a:effectLst/>
              <a:latin typeface="+mn-lt"/>
              <a:ea typeface="+mn-ea"/>
              <a:cs typeface="+mn-cs"/>
            </a:rPr>
            <a:t>Participation in this conference is intended for long term care (LTC) member and nonmember providers, AHCA/NCAL state affiliate staff members, provider-led plans, consultants and attorneys, and other nonmember association and not for profit community organizations. AHCA /NCAL reserves the right to grant final approval to all registrants. Please note CE accreditation is available via this conference’s education sessions.</a:t>
          </a:r>
          <a:br>
            <a:rPr lang="en-US"/>
          </a:br>
          <a:endParaRPr lang="en-US" sz="1100"/>
        </a:p>
      </xdr:txBody>
    </xdr:sp>
    <xdr:clientData/>
  </xdr:twoCellAnchor>
  <xdr:twoCellAnchor>
    <xdr:from>
      <xdr:col>0</xdr:col>
      <xdr:colOff>123825</xdr:colOff>
      <xdr:row>192</xdr:row>
      <xdr:rowOff>66675</xdr:rowOff>
    </xdr:from>
    <xdr:to>
      <xdr:col>4</xdr:col>
      <xdr:colOff>561975</xdr:colOff>
      <xdr:row>206</xdr:row>
      <xdr:rowOff>161925</xdr:rowOff>
    </xdr:to>
    <xdr:sp macro="" textlink="">
      <xdr:nvSpPr>
        <xdr:cNvPr id="83" name="Rectangle 82">
          <a:extLst>
            <a:ext uri="{FF2B5EF4-FFF2-40B4-BE49-F238E27FC236}">
              <a16:creationId xmlns:a16="http://schemas.microsoft.com/office/drawing/2014/main" id="{33D0CBA8-62FB-4CE7-A139-00733428C7F7}"/>
            </a:ext>
          </a:extLst>
        </xdr:cNvPr>
        <xdr:cNvSpPr/>
      </xdr:nvSpPr>
      <xdr:spPr>
        <a:xfrm>
          <a:off x="123825" y="37909500"/>
          <a:ext cx="2876550" cy="2762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If rooms are still available at the Grand Hyatt - $259/night + air + transport</a:t>
          </a:r>
        </a:p>
        <a:p>
          <a:pPr algn="l"/>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Deadline: Thursday, March 27th</a:t>
          </a:r>
          <a:br>
            <a:rPr lang="en-US"/>
          </a:br>
          <a:r>
            <a:rPr lang="en-US" sz="1100" b="0" i="0">
              <a:solidFill>
                <a:schemeClr val="lt1"/>
              </a:solidFill>
              <a:effectLst/>
              <a:latin typeface="+mn-lt"/>
              <a:ea typeface="+mn-ea"/>
              <a:cs typeface="+mn-cs"/>
            </a:rPr>
            <a:t>AHCA/NCAL Provider Members: $500</a:t>
          </a:r>
        </a:p>
        <a:p>
          <a:r>
            <a:rPr lang="en-US" sz="1100" b="0" i="0">
              <a:solidFill>
                <a:schemeClr val="lt1"/>
              </a:solidFill>
              <a:effectLst/>
              <a:latin typeface="+mn-lt"/>
              <a:ea typeface="+mn-ea"/>
              <a:cs typeface="+mn-cs"/>
            </a:rPr>
            <a:t>Additional Provider Member from the same facility: $475</a:t>
          </a:r>
        </a:p>
        <a:p>
          <a:r>
            <a:rPr lang="en-US" sz="1100" b="0" i="0">
              <a:solidFill>
                <a:schemeClr val="lt1"/>
              </a:solidFill>
              <a:effectLst/>
              <a:latin typeface="+mn-lt"/>
              <a:ea typeface="+mn-ea"/>
              <a:cs typeface="+mn-cs"/>
            </a:rPr>
            <a:t>State Executive/State Affiliate Staff: $325</a:t>
          </a:r>
        </a:p>
        <a:p>
          <a:r>
            <a:rPr lang="en-US" sz="1100" b="0" i="0">
              <a:solidFill>
                <a:schemeClr val="lt1"/>
              </a:solidFill>
              <a:effectLst/>
              <a:latin typeface="+mn-lt"/>
              <a:ea typeface="+mn-ea"/>
              <a:cs typeface="+mn-cs"/>
            </a:rPr>
            <a:t>Non-Member Provider: $1025</a:t>
          </a:r>
        </a:p>
        <a:p>
          <a:r>
            <a:rPr lang="en-US" sz="1100" b="0" i="0">
              <a:solidFill>
                <a:schemeClr val="lt1"/>
              </a:solidFill>
              <a:effectLst/>
              <a:latin typeface="+mn-lt"/>
              <a:ea typeface="+mn-ea"/>
              <a:cs typeface="+mn-cs"/>
            </a:rPr>
            <a:t>Provider-Led Health Plans: $1025</a:t>
          </a:r>
        </a:p>
        <a:p>
          <a:r>
            <a:rPr lang="en-US" sz="1100" b="0" i="0">
              <a:solidFill>
                <a:schemeClr val="lt1"/>
              </a:solidFill>
              <a:effectLst/>
              <a:latin typeface="+mn-lt"/>
              <a:ea typeface="+mn-ea"/>
              <a:cs typeface="+mn-cs"/>
            </a:rPr>
            <a:t>Consultants &amp; Attorneys: $2000</a:t>
          </a:r>
        </a:p>
        <a:p>
          <a:r>
            <a:rPr lang="en-US" sz="1100" b="0" i="0">
              <a:solidFill>
                <a:schemeClr val="lt1"/>
              </a:solidFill>
              <a:effectLst/>
              <a:latin typeface="+mn-lt"/>
              <a:ea typeface="+mn-ea"/>
              <a:cs typeface="+mn-cs"/>
            </a:rPr>
            <a:t>Student: $325</a:t>
          </a:r>
          <a:br>
            <a:rPr lang="en-US" sz="1100" b="0" i="0">
              <a:solidFill>
                <a:schemeClr val="lt1"/>
              </a:solidFill>
              <a:effectLst/>
              <a:latin typeface="+mn-lt"/>
              <a:ea typeface="+mn-ea"/>
              <a:cs typeface="+mn-cs"/>
            </a:rPr>
          </a:br>
          <a:endParaRPr lang="en-US" sz="1100" b="0" i="0">
            <a:solidFill>
              <a:schemeClr val="lt1"/>
            </a:solidFill>
            <a:effectLst/>
            <a:latin typeface="+mn-lt"/>
            <a:ea typeface="+mn-ea"/>
            <a:cs typeface="+mn-cs"/>
          </a:endParaRPr>
        </a:p>
        <a:p>
          <a:r>
            <a:rPr lang="en-US" sz="1100" b="0" i="0">
              <a:solidFill>
                <a:schemeClr val="lt1"/>
              </a:solidFill>
              <a:effectLst/>
              <a:latin typeface="+mn-lt"/>
              <a:ea typeface="+mn-ea"/>
              <a:cs typeface="+mn-cs"/>
            </a:rPr>
            <a:t>Non-mem Assoc or Not For Profit Community Org: $650</a:t>
          </a:r>
        </a:p>
        <a:p>
          <a:pPr algn="l"/>
          <a:endParaRPr lang="en-US" sz="1100"/>
        </a:p>
      </xdr:txBody>
    </xdr:sp>
    <xdr:clientData/>
  </xdr:twoCellAnchor>
  <xdr:twoCellAnchor>
    <xdr:from>
      <xdr:col>5</xdr:col>
      <xdr:colOff>0</xdr:colOff>
      <xdr:row>189</xdr:row>
      <xdr:rowOff>19050</xdr:rowOff>
    </xdr:from>
    <xdr:to>
      <xdr:col>9</xdr:col>
      <xdr:colOff>238125</xdr:colOff>
      <xdr:row>191</xdr:row>
      <xdr:rowOff>161925</xdr:rowOff>
    </xdr:to>
    <xdr:sp macro="" textlink="">
      <xdr:nvSpPr>
        <xdr:cNvPr id="84" name="Rectangle 83">
          <a:extLst>
            <a:ext uri="{FF2B5EF4-FFF2-40B4-BE49-F238E27FC236}">
              <a16:creationId xmlns:a16="http://schemas.microsoft.com/office/drawing/2014/main" id="{488780C5-756F-4C45-8E3C-871B9E25336E}"/>
            </a:ext>
          </a:extLst>
        </xdr:cNvPr>
        <xdr:cNvSpPr/>
      </xdr:nvSpPr>
      <xdr:spPr>
        <a:xfrm>
          <a:off x="3048000" y="37290375"/>
          <a:ext cx="2676525" cy="5238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SNF &amp; Post-Acute Providers - Population Health Management insights</a:t>
          </a:r>
          <a:endParaRPr lang="en-US" sz="1100"/>
        </a:p>
      </xdr:txBody>
    </xdr:sp>
    <xdr:clientData/>
  </xdr:twoCellAnchor>
  <xdr:twoCellAnchor>
    <xdr:from>
      <xdr:col>5</xdr:col>
      <xdr:colOff>228600</xdr:colOff>
      <xdr:row>194</xdr:row>
      <xdr:rowOff>133350</xdr:rowOff>
    </xdr:from>
    <xdr:to>
      <xdr:col>9</xdr:col>
      <xdr:colOff>200025</xdr:colOff>
      <xdr:row>196</xdr:row>
      <xdr:rowOff>104775</xdr:rowOff>
    </xdr:to>
    <xdr:sp macro="" textlink="">
      <xdr:nvSpPr>
        <xdr:cNvPr id="85" name="Rectangle 84">
          <a:extLst>
            <a:ext uri="{FF2B5EF4-FFF2-40B4-BE49-F238E27FC236}">
              <a16:creationId xmlns:a16="http://schemas.microsoft.com/office/drawing/2014/main" id="{D0FDA3D5-A9F8-47CF-A570-046375E5D029}"/>
            </a:ext>
          </a:extLst>
        </xdr:cNvPr>
        <xdr:cNvSpPr/>
      </xdr:nvSpPr>
      <xdr:spPr>
        <a:xfrm>
          <a:off x="3276600" y="3835717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Aleca, Sante</a:t>
          </a:r>
          <a:endParaRPr lang="en-US" sz="1100"/>
        </a:p>
      </xdr:txBody>
    </xdr:sp>
    <xdr:clientData/>
  </xdr:twoCellAnchor>
  <xdr:twoCellAnchor>
    <xdr:from>
      <xdr:col>5</xdr:col>
      <xdr:colOff>85725</xdr:colOff>
      <xdr:row>198</xdr:row>
      <xdr:rowOff>171450</xdr:rowOff>
    </xdr:from>
    <xdr:to>
      <xdr:col>9</xdr:col>
      <xdr:colOff>57150</xdr:colOff>
      <xdr:row>201</xdr:row>
      <xdr:rowOff>28575</xdr:rowOff>
    </xdr:to>
    <xdr:sp macro="" textlink="">
      <xdr:nvSpPr>
        <xdr:cNvPr id="86" name="Rectangle 85">
          <a:hlinkClick xmlns:r="http://schemas.openxmlformats.org/officeDocument/2006/relationships" r:id="rId8"/>
          <a:extLst>
            <a:ext uri="{FF2B5EF4-FFF2-40B4-BE49-F238E27FC236}">
              <a16:creationId xmlns:a16="http://schemas.microsoft.com/office/drawing/2014/main" id="{91FC8E7E-2BC7-483C-BC7C-D7F29C56982C}"/>
            </a:ext>
          </a:extLst>
        </xdr:cNvPr>
        <xdr:cNvSpPr/>
      </xdr:nvSpPr>
      <xdr:spPr>
        <a:xfrm>
          <a:off x="3133725" y="39157275"/>
          <a:ext cx="2409825" cy="428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Population Health Management Summit</a:t>
          </a:r>
          <a:endParaRPr lang="en-US" sz="1100">
            <a:solidFill>
              <a:schemeClr val="bg1"/>
            </a:solidFill>
          </a:endParaRPr>
        </a:p>
      </xdr:txBody>
    </xdr:sp>
    <xdr:clientData/>
  </xdr:twoCellAnchor>
  <xdr:twoCellAnchor>
    <xdr:from>
      <xdr:col>10</xdr:col>
      <xdr:colOff>57150</xdr:colOff>
      <xdr:row>164</xdr:row>
      <xdr:rowOff>9525</xdr:rowOff>
    </xdr:from>
    <xdr:to>
      <xdr:col>13</xdr:col>
      <xdr:colOff>552450</xdr:colOff>
      <xdr:row>167</xdr:row>
      <xdr:rowOff>104774</xdr:rowOff>
    </xdr:to>
    <xdr:sp macro="" textlink="">
      <xdr:nvSpPr>
        <xdr:cNvPr id="87" name="Rectangle 86">
          <a:extLst>
            <a:ext uri="{FF2B5EF4-FFF2-40B4-BE49-F238E27FC236}">
              <a16:creationId xmlns:a16="http://schemas.microsoft.com/office/drawing/2014/main" id="{CD230286-5336-4864-8F31-5CEEF043016C}"/>
            </a:ext>
          </a:extLst>
        </xdr:cNvPr>
        <xdr:cNvSpPr/>
      </xdr:nvSpPr>
      <xdr:spPr>
        <a:xfrm>
          <a:off x="6153150" y="16240125"/>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This event was not attended due to late approval. Would be nice to potentially attend next year</a:t>
          </a:r>
        </a:p>
      </xdr:txBody>
    </xdr:sp>
    <xdr:clientData/>
  </xdr:twoCellAnchor>
  <xdr:twoCellAnchor>
    <xdr:from>
      <xdr:col>5</xdr:col>
      <xdr:colOff>180975</xdr:colOff>
      <xdr:row>203</xdr:row>
      <xdr:rowOff>85725</xdr:rowOff>
    </xdr:from>
    <xdr:to>
      <xdr:col>9</xdr:col>
      <xdr:colOff>152400</xdr:colOff>
      <xdr:row>205</xdr:row>
      <xdr:rowOff>57150</xdr:rowOff>
    </xdr:to>
    <xdr:sp macro="" textlink="">
      <xdr:nvSpPr>
        <xdr:cNvPr id="88" name="Rectangle 87">
          <a:extLst>
            <a:ext uri="{FF2B5EF4-FFF2-40B4-BE49-F238E27FC236}">
              <a16:creationId xmlns:a16="http://schemas.microsoft.com/office/drawing/2014/main" id="{59995AB3-CCD5-4FD8-9B2D-6411D87B5271}"/>
            </a:ext>
          </a:extLst>
        </xdr:cNvPr>
        <xdr:cNvSpPr/>
      </xdr:nvSpPr>
      <xdr:spPr>
        <a:xfrm>
          <a:off x="3228975" y="40024050"/>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Education / Networking</a:t>
          </a:r>
          <a:endParaRPr lang="en-US" sz="1100"/>
        </a:p>
      </xdr:txBody>
    </xdr:sp>
    <xdr:clientData/>
  </xdr:twoCellAnchor>
  <xdr:twoCellAnchor>
    <xdr:from>
      <xdr:col>0</xdr:col>
      <xdr:colOff>95250</xdr:colOff>
      <xdr:row>211</xdr:row>
      <xdr:rowOff>95250</xdr:rowOff>
    </xdr:from>
    <xdr:to>
      <xdr:col>0</xdr:col>
      <xdr:colOff>438150</xdr:colOff>
      <xdr:row>213</xdr:row>
      <xdr:rowOff>28575</xdr:rowOff>
    </xdr:to>
    <xdr:sp macro="" textlink="">
      <xdr:nvSpPr>
        <xdr:cNvPr id="89" name="Star: 5 Points 88">
          <a:extLst>
            <a:ext uri="{FF2B5EF4-FFF2-40B4-BE49-F238E27FC236}">
              <a16:creationId xmlns:a16="http://schemas.microsoft.com/office/drawing/2014/main" id="{72257C7B-8607-4A6D-9C89-F6BAFA8CC1E8}"/>
            </a:ext>
          </a:extLst>
        </xdr:cNvPr>
        <xdr:cNvSpPr/>
      </xdr:nvSpPr>
      <xdr:spPr>
        <a:xfrm>
          <a:off x="95250" y="165258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211</xdr:row>
      <xdr:rowOff>114300</xdr:rowOff>
    </xdr:from>
    <xdr:to>
      <xdr:col>1</xdr:col>
      <xdr:colOff>247650</xdr:colOff>
      <xdr:row>213</xdr:row>
      <xdr:rowOff>47625</xdr:rowOff>
    </xdr:to>
    <xdr:sp macro="" textlink="">
      <xdr:nvSpPr>
        <xdr:cNvPr id="90" name="Star: 5 Points 89">
          <a:extLst>
            <a:ext uri="{FF2B5EF4-FFF2-40B4-BE49-F238E27FC236}">
              <a16:creationId xmlns:a16="http://schemas.microsoft.com/office/drawing/2014/main" id="{DF46394A-0E89-4BC0-891F-53456CB19BE6}"/>
            </a:ext>
          </a:extLst>
        </xdr:cNvPr>
        <xdr:cNvSpPr/>
      </xdr:nvSpPr>
      <xdr:spPr>
        <a:xfrm>
          <a:off x="514350"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211</xdr:row>
      <xdr:rowOff>114300</xdr:rowOff>
    </xdr:from>
    <xdr:to>
      <xdr:col>2</xdr:col>
      <xdr:colOff>76200</xdr:colOff>
      <xdr:row>213</xdr:row>
      <xdr:rowOff>47625</xdr:rowOff>
    </xdr:to>
    <xdr:sp macro="" textlink="">
      <xdr:nvSpPr>
        <xdr:cNvPr id="91" name="Star: 5 Points 90">
          <a:extLst>
            <a:ext uri="{FF2B5EF4-FFF2-40B4-BE49-F238E27FC236}">
              <a16:creationId xmlns:a16="http://schemas.microsoft.com/office/drawing/2014/main" id="{A0CD3F24-2A6D-4B82-91E5-0EEC16AC1E76}"/>
            </a:ext>
          </a:extLst>
        </xdr:cNvPr>
        <xdr:cNvSpPr/>
      </xdr:nvSpPr>
      <xdr:spPr>
        <a:xfrm>
          <a:off x="952500"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211</xdr:row>
      <xdr:rowOff>114300</xdr:rowOff>
    </xdr:from>
    <xdr:to>
      <xdr:col>2</xdr:col>
      <xdr:colOff>523875</xdr:colOff>
      <xdr:row>213</xdr:row>
      <xdr:rowOff>47625</xdr:rowOff>
    </xdr:to>
    <xdr:sp macro="" textlink="">
      <xdr:nvSpPr>
        <xdr:cNvPr id="92" name="Star: 5 Points 91">
          <a:extLst>
            <a:ext uri="{FF2B5EF4-FFF2-40B4-BE49-F238E27FC236}">
              <a16:creationId xmlns:a16="http://schemas.microsoft.com/office/drawing/2014/main" id="{C17C67C6-7D66-402B-9ADD-D0F5E135054F}"/>
            </a:ext>
          </a:extLst>
        </xdr:cNvPr>
        <xdr:cNvSpPr/>
      </xdr:nvSpPr>
      <xdr:spPr>
        <a:xfrm>
          <a:off x="1400175"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211</xdr:row>
      <xdr:rowOff>123825</xdr:rowOff>
    </xdr:from>
    <xdr:to>
      <xdr:col>3</xdr:col>
      <xdr:colOff>342900</xdr:colOff>
      <xdr:row>213</xdr:row>
      <xdr:rowOff>57150</xdr:rowOff>
    </xdr:to>
    <xdr:sp macro="" textlink="">
      <xdr:nvSpPr>
        <xdr:cNvPr id="93" name="Star: 5 Points 92">
          <a:extLst>
            <a:ext uri="{FF2B5EF4-FFF2-40B4-BE49-F238E27FC236}">
              <a16:creationId xmlns:a16="http://schemas.microsoft.com/office/drawing/2014/main" id="{107292B7-646D-49A8-B076-9787BAE6A32A}"/>
            </a:ext>
          </a:extLst>
        </xdr:cNvPr>
        <xdr:cNvSpPr/>
      </xdr:nvSpPr>
      <xdr:spPr>
        <a:xfrm>
          <a:off x="1828800" y="165544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215</xdr:row>
      <xdr:rowOff>57151</xdr:rowOff>
    </xdr:from>
    <xdr:to>
      <xdr:col>4</xdr:col>
      <xdr:colOff>57150</xdr:colOff>
      <xdr:row>219</xdr:row>
      <xdr:rowOff>9526</xdr:rowOff>
    </xdr:to>
    <xdr:sp macro="" textlink="">
      <xdr:nvSpPr>
        <xdr:cNvPr id="94" name="Rectangle 93">
          <a:extLst>
            <a:ext uri="{FF2B5EF4-FFF2-40B4-BE49-F238E27FC236}">
              <a16:creationId xmlns:a16="http://schemas.microsoft.com/office/drawing/2014/main" id="{5986E7EF-49C9-457A-86FE-332BF2C1C738}"/>
            </a:ext>
          </a:extLst>
        </xdr:cNvPr>
        <xdr:cNvSpPr/>
      </xdr:nvSpPr>
      <xdr:spPr>
        <a:xfrm>
          <a:off x="85725" y="17259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221</xdr:row>
      <xdr:rowOff>76201</xdr:rowOff>
    </xdr:from>
    <xdr:to>
      <xdr:col>4</xdr:col>
      <xdr:colOff>57150</xdr:colOff>
      <xdr:row>225</xdr:row>
      <xdr:rowOff>38101</xdr:rowOff>
    </xdr:to>
    <xdr:sp macro="" textlink="">
      <xdr:nvSpPr>
        <xdr:cNvPr id="95" name="Rectangle 94">
          <a:extLst>
            <a:ext uri="{FF2B5EF4-FFF2-40B4-BE49-F238E27FC236}">
              <a16:creationId xmlns:a16="http://schemas.microsoft.com/office/drawing/2014/main" id="{DC5D4E2C-E748-4E1E-88BD-2B9D5870F7DD}"/>
            </a:ext>
          </a:extLst>
        </xdr:cNvPr>
        <xdr:cNvSpPr/>
      </xdr:nvSpPr>
      <xdr:spPr>
        <a:xfrm>
          <a:off x="85725" y="18440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227</xdr:row>
      <xdr:rowOff>123825</xdr:rowOff>
    </xdr:from>
    <xdr:to>
      <xdr:col>4</xdr:col>
      <xdr:colOff>76200</xdr:colOff>
      <xdr:row>236</xdr:row>
      <xdr:rowOff>9525</xdr:rowOff>
    </xdr:to>
    <xdr:sp macro="" textlink="">
      <xdr:nvSpPr>
        <xdr:cNvPr id="96" name="Rectangle 95">
          <a:extLst>
            <a:ext uri="{FF2B5EF4-FFF2-40B4-BE49-F238E27FC236}">
              <a16:creationId xmlns:a16="http://schemas.microsoft.com/office/drawing/2014/main" id="{5785F055-B18A-4661-AF3F-3D1CCC22FAFD}"/>
            </a:ext>
          </a:extLst>
        </xdr:cNvPr>
        <xdr:cNvSpPr/>
      </xdr:nvSpPr>
      <xdr:spPr>
        <a:xfrm>
          <a:off x="104775" y="196405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215</xdr:row>
      <xdr:rowOff>38100</xdr:rowOff>
    </xdr:from>
    <xdr:to>
      <xdr:col>8</xdr:col>
      <xdr:colOff>561975</xdr:colOff>
      <xdr:row>217</xdr:row>
      <xdr:rowOff>161925</xdr:rowOff>
    </xdr:to>
    <xdr:sp macro="" textlink="">
      <xdr:nvSpPr>
        <xdr:cNvPr id="97" name="Rectangle 96">
          <a:extLst>
            <a:ext uri="{FF2B5EF4-FFF2-40B4-BE49-F238E27FC236}">
              <a16:creationId xmlns:a16="http://schemas.microsoft.com/office/drawing/2014/main" id="{8F4420AD-28B8-4A7D-9B3A-3895E41CFD42}"/>
            </a:ext>
          </a:extLst>
        </xdr:cNvPr>
        <xdr:cNvSpPr/>
      </xdr:nvSpPr>
      <xdr:spPr>
        <a:xfrm>
          <a:off x="3028950" y="172402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221</xdr:row>
      <xdr:rowOff>76201</xdr:rowOff>
    </xdr:from>
    <xdr:to>
      <xdr:col>8</xdr:col>
      <xdr:colOff>561975</xdr:colOff>
      <xdr:row>225</xdr:row>
      <xdr:rowOff>38101</xdr:rowOff>
    </xdr:to>
    <xdr:sp macro="" textlink="">
      <xdr:nvSpPr>
        <xdr:cNvPr id="98" name="Rectangle 97">
          <a:extLst>
            <a:ext uri="{FF2B5EF4-FFF2-40B4-BE49-F238E27FC236}">
              <a16:creationId xmlns:a16="http://schemas.microsoft.com/office/drawing/2014/main" id="{388E67D1-7CF9-4FCA-AC72-F4A779B3D45F}"/>
            </a:ext>
          </a:extLst>
        </xdr:cNvPr>
        <xdr:cNvSpPr/>
      </xdr:nvSpPr>
      <xdr:spPr>
        <a:xfrm>
          <a:off x="3028950" y="18440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227</xdr:row>
      <xdr:rowOff>104775</xdr:rowOff>
    </xdr:from>
    <xdr:to>
      <xdr:col>8</xdr:col>
      <xdr:colOff>561975</xdr:colOff>
      <xdr:row>229</xdr:row>
      <xdr:rowOff>171450</xdr:rowOff>
    </xdr:to>
    <xdr:sp macro="" textlink="">
      <xdr:nvSpPr>
        <xdr:cNvPr id="99" name="Rectangle 98">
          <a:extLst>
            <a:ext uri="{FF2B5EF4-FFF2-40B4-BE49-F238E27FC236}">
              <a16:creationId xmlns:a16="http://schemas.microsoft.com/office/drawing/2014/main" id="{DDB54C14-2088-4F99-A729-4E3F68909F59}"/>
            </a:ext>
          </a:extLst>
        </xdr:cNvPr>
        <xdr:cNvSpPr/>
      </xdr:nvSpPr>
      <xdr:spPr>
        <a:xfrm>
          <a:off x="3028950" y="19621500"/>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Kerri Cummiskey put in request but did not specify</a:t>
          </a:r>
          <a:r>
            <a:rPr lang="en-US" sz="1100" baseline="0"/>
            <a:t> event lead</a:t>
          </a:r>
          <a:endParaRPr lang="en-US" sz="1100"/>
        </a:p>
      </xdr:txBody>
    </xdr:sp>
    <xdr:clientData/>
  </xdr:twoCellAnchor>
  <xdr:twoCellAnchor>
    <xdr:from>
      <xdr:col>4</xdr:col>
      <xdr:colOff>581026</xdr:colOff>
      <xdr:row>231</xdr:row>
      <xdr:rowOff>104775</xdr:rowOff>
    </xdr:from>
    <xdr:to>
      <xdr:col>5</xdr:col>
      <xdr:colOff>495300</xdr:colOff>
      <xdr:row>233</xdr:row>
      <xdr:rowOff>57150</xdr:rowOff>
    </xdr:to>
    <xdr:sp macro="" textlink="">
      <xdr:nvSpPr>
        <xdr:cNvPr id="100" name="Rectangle 99">
          <a:extLst>
            <a:ext uri="{FF2B5EF4-FFF2-40B4-BE49-F238E27FC236}">
              <a16:creationId xmlns:a16="http://schemas.microsoft.com/office/drawing/2014/main" id="{03353424-2C7A-4328-B868-2EBB6675D52E}"/>
            </a:ext>
          </a:extLst>
        </xdr:cNvPr>
        <xdr:cNvSpPr/>
      </xdr:nvSpPr>
      <xdr:spPr>
        <a:xfrm>
          <a:off x="3019426" y="20383500"/>
          <a:ext cx="52387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700+</a:t>
          </a:r>
        </a:p>
        <a:p>
          <a:pPr algn="l"/>
          <a:endParaRPr lang="en-US" sz="1100"/>
        </a:p>
      </xdr:txBody>
    </xdr:sp>
    <xdr:clientData/>
  </xdr:twoCellAnchor>
  <xdr:twoCellAnchor>
    <xdr:from>
      <xdr:col>9</xdr:col>
      <xdr:colOff>428625</xdr:colOff>
      <xdr:row>215</xdr:row>
      <xdr:rowOff>19048</xdr:rowOff>
    </xdr:from>
    <xdr:to>
      <xdr:col>13</xdr:col>
      <xdr:colOff>476250</xdr:colOff>
      <xdr:row>251</xdr:row>
      <xdr:rowOff>123824</xdr:rowOff>
    </xdr:to>
    <xdr:sp macro="" textlink="">
      <xdr:nvSpPr>
        <xdr:cNvPr id="101" name="Rectangle 100">
          <a:extLst>
            <a:ext uri="{FF2B5EF4-FFF2-40B4-BE49-F238E27FC236}">
              <a16:creationId xmlns:a16="http://schemas.microsoft.com/office/drawing/2014/main" id="{F047C895-1E97-4A0B-9044-D57CCC7DFDA7}"/>
            </a:ext>
          </a:extLst>
        </xdr:cNvPr>
        <xdr:cNvSpPr/>
      </xdr:nvSpPr>
      <xdr:spPr>
        <a:xfrm>
          <a:off x="5915025" y="42424348"/>
          <a:ext cx="2486025" cy="6991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Visibility to all ACO opportunities and education on a national level</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The agenda will feature leading ACO experts and CMS officials sharing timely and essential information for ACOs.  As always, the entire conference will be recorded and all participants, both in-person and virtual, will be able to view any sessions they missed live for six months following the conference. </a:t>
          </a:r>
          <a:r>
            <a:rPr lang="en-US" sz="1100" b="1" i="0">
              <a:solidFill>
                <a:schemeClr val="lt1"/>
              </a:solidFill>
              <a:effectLst/>
              <a:latin typeface="+mn-lt"/>
              <a:ea typeface="+mn-ea"/>
              <a:cs typeface="+mn-cs"/>
            </a:rPr>
            <a:t>**CAN BE ATTENDED VIRTUALLY, BUT NOT GOOD IF WE WANT TO NETWORK</a:t>
          </a:r>
        </a:p>
        <a:p>
          <a:pPr algn="l"/>
          <a:endParaRPr lang="en-US" sz="1100" b="0" i="0" u="none">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Baltimore,</a:t>
          </a:r>
          <a:r>
            <a:rPr lang="en-US" sz="1100" b="0" i="0" baseline="0">
              <a:solidFill>
                <a:schemeClr val="lt1"/>
              </a:solidFill>
              <a:effectLst/>
              <a:latin typeface="+mn-lt"/>
              <a:ea typeface="+mn-ea"/>
              <a:cs typeface="+mn-cs"/>
            </a:rPr>
            <a:t> Maryland</a:t>
          </a:r>
        </a:p>
        <a:p>
          <a:pPr algn="l"/>
          <a:endParaRPr lang="en-US" sz="1100" b="0" i="0" baseline="0">
            <a:solidFill>
              <a:schemeClr val="lt1"/>
            </a:solidFill>
            <a:effectLst/>
            <a:latin typeface="+mn-lt"/>
            <a:ea typeface="+mn-ea"/>
            <a:cs typeface="+mn-cs"/>
          </a:endParaRPr>
        </a:p>
        <a:p>
          <a:pPr algn="l"/>
          <a:r>
            <a:rPr lang="en-US" sz="1100" b="1" i="0" baseline="0">
              <a:solidFill>
                <a:schemeClr val="lt1"/>
              </a:solidFill>
              <a:effectLst/>
              <a:latin typeface="+mn-lt"/>
              <a:ea typeface="+mn-ea"/>
              <a:cs typeface="+mn-cs"/>
            </a:rPr>
            <a:t>Additional Info: </a:t>
          </a:r>
        </a:p>
        <a:p>
          <a:pPr algn="l"/>
          <a:r>
            <a:rPr lang="en-US" sz="1100" b="0" i="0">
              <a:solidFill>
                <a:schemeClr val="lt1"/>
              </a:solidFill>
              <a:effectLst/>
              <a:latin typeface="+mn-lt"/>
              <a:ea typeface="+mn-ea"/>
              <a:cs typeface="+mn-cs"/>
            </a:rPr>
            <a:t>Have no history with this event - this may be something Mark wants to attend, or just grab the virtual information the first time to see if we can get an idea of what really takes place? </a:t>
          </a:r>
        </a:p>
        <a:p>
          <a:pPr algn="l"/>
          <a:endParaRPr lang="en-US" sz="1100" b="0" i="0" baseline="0">
            <a:solidFill>
              <a:schemeClr val="lt1"/>
            </a:solidFill>
            <a:effectLst/>
            <a:latin typeface="+mn-lt"/>
            <a:ea typeface="+mn-ea"/>
            <a:cs typeface="+mn-cs"/>
          </a:endParaRPr>
        </a:p>
        <a:p>
          <a:r>
            <a:rPr lang="en-US" sz="1100" b="1" i="0">
              <a:solidFill>
                <a:schemeClr val="lt1"/>
              </a:solidFill>
              <a:effectLst/>
              <a:latin typeface="+mn-lt"/>
              <a:ea typeface="+mn-ea"/>
              <a:cs typeface="+mn-cs"/>
            </a:rPr>
            <a:t>Future Conference Dates</a:t>
          </a:r>
        </a:p>
        <a:p>
          <a:r>
            <a:rPr lang="en-US" sz="1100" b="1" i="0">
              <a:solidFill>
                <a:schemeClr val="lt1"/>
              </a:solidFill>
              <a:effectLst/>
              <a:latin typeface="+mn-lt"/>
              <a:ea typeface="+mn-ea"/>
              <a:cs typeface="+mn-cs"/>
            </a:rPr>
            <a:t>Fall 2025 </a:t>
          </a:r>
          <a:r>
            <a:rPr lang="en-US" sz="1100" b="0" i="0">
              <a:solidFill>
                <a:schemeClr val="lt1"/>
              </a:solidFill>
              <a:effectLst/>
              <a:latin typeface="+mn-lt"/>
              <a:ea typeface="+mn-ea"/>
              <a:cs typeface="+mn-cs"/>
            </a:rPr>
            <a:t>October 8–10, Marriott Marquis Washington, D.C.</a:t>
          </a:r>
        </a:p>
        <a:p>
          <a:r>
            <a:rPr lang="en-US" sz="1100" b="1" i="0">
              <a:solidFill>
                <a:schemeClr val="lt1"/>
              </a:solidFill>
              <a:effectLst/>
              <a:latin typeface="+mn-lt"/>
              <a:ea typeface="+mn-ea"/>
              <a:cs typeface="+mn-cs"/>
            </a:rPr>
            <a:t>Spring 2026 </a:t>
          </a:r>
          <a:r>
            <a:rPr lang="en-US" sz="1100" b="0" i="0">
              <a:solidFill>
                <a:schemeClr val="lt1"/>
              </a:solidFill>
              <a:effectLst/>
              <a:latin typeface="+mn-lt"/>
              <a:ea typeface="+mn-ea"/>
              <a:cs typeface="+mn-cs"/>
            </a:rPr>
            <a:t>April 22–24, Hilton Baltimore Inner Harbor</a:t>
          </a:r>
        </a:p>
        <a:p>
          <a:r>
            <a:rPr lang="en-US" sz="1100" b="1" i="0">
              <a:solidFill>
                <a:schemeClr val="lt1"/>
              </a:solidFill>
              <a:effectLst/>
              <a:latin typeface="+mn-lt"/>
              <a:ea typeface="+mn-ea"/>
              <a:cs typeface="+mn-cs"/>
            </a:rPr>
            <a:t>Fall 2026</a:t>
          </a:r>
          <a:r>
            <a:rPr lang="en-US" sz="1100" b="1" i="0" baseline="0">
              <a:solidFill>
                <a:schemeClr val="lt1"/>
              </a:solidFill>
              <a:effectLst/>
              <a:latin typeface="+mn-lt"/>
              <a:ea typeface="+mn-ea"/>
              <a:cs typeface="+mn-cs"/>
            </a:rPr>
            <a:t> </a:t>
          </a:r>
          <a:r>
            <a:rPr lang="en-US" sz="1100" b="0" i="0">
              <a:solidFill>
                <a:schemeClr val="lt1"/>
              </a:solidFill>
              <a:effectLst/>
              <a:latin typeface="+mn-lt"/>
              <a:ea typeface="+mn-ea"/>
              <a:cs typeface="+mn-cs"/>
            </a:rPr>
            <a:t>October 14–16, Marriott Marquis Washington, D.C.</a:t>
          </a:r>
        </a:p>
        <a:p>
          <a:r>
            <a:rPr lang="en-US" sz="1100" b="1" i="0">
              <a:solidFill>
                <a:schemeClr val="lt1"/>
              </a:solidFill>
              <a:effectLst/>
              <a:latin typeface="+mn-lt"/>
              <a:ea typeface="+mn-ea"/>
              <a:cs typeface="+mn-cs"/>
            </a:rPr>
            <a:t>Spring 2027 </a:t>
          </a:r>
          <a:r>
            <a:rPr lang="en-US" sz="1100" b="0" i="0">
              <a:solidFill>
                <a:schemeClr val="lt1"/>
              </a:solidFill>
              <a:effectLst/>
              <a:latin typeface="+mn-lt"/>
              <a:ea typeface="+mn-ea"/>
              <a:cs typeface="+mn-cs"/>
            </a:rPr>
            <a:t>April 13–15, Hilton Baltimore Inner Harbor (Tues–Thurs)</a:t>
          </a:r>
        </a:p>
        <a:p>
          <a:r>
            <a:rPr lang="en-US" sz="1100" b="1" i="0">
              <a:solidFill>
                <a:schemeClr val="lt1"/>
              </a:solidFill>
              <a:effectLst/>
              <a:latin typeface="+mn-lt"/>
              <a:ea typeface="+mn-ea"/>
              <a:cs typeface="+mn-cs"/>
            </a:rPr>
            <a:t>Fall 2027 </a:t>
          </a:r>
          <a:r>
            <a:rPr lang="en-US" sz="1100" b="0" i="0">
              <a:solidFill>
                <a:schemeClr val="lt1"/>
              </a:solidFill>
              <a:effectLst/>
              <a:latin typeface="+mn-lt"/>
              <a:ea typeface="+mn-ea"/>
              <a:cs typeface="+mn-cs"/>
            </a:rPr>
            <a:t>October 4–6, Marriott Marquis Washington, D.C. (Mon–Wed)</a:t>
          </a:r>
        </a:p>
        <a:p>
          <a:r>
            <a:rPr lang="en-US" sz="1100" b="1" i="0">
              <a:solidFill>
                <a:schemeClr val="lt1"/>
              </a:solidFill>
              <a:effectLst/>
              <a:latin typeface="+mn-lt"/>
              <a:ea typeface="+mn-ea"/>
              <a:cs typeface="+mn-cs"/>
            </a:rPr>
            <a:t>Spring 2028 </a:t>
          </a:r>
          <a:r>
            <a:rPr lang="en-US" sz="1100" b="0" i="0">
              <a:solidFill>
                <a:schemeClr val="lt1"/>
              </a:solidFill>
              <a:effectLst/>
              <a:latin typeface="+mn-lt"/>
              <a:ea typeface="+mn-ea"/>
              <a:cs typeface="+mn-cs"/>
            </a:rPr>
            <a:t>April 3–5, Hilton Baltimore Inner Harbor (Mon–Wed)</a:t>
          </a:r>
        </a:p>
        <a:p>
          <a:r>
            <a:rPr lang="en-US" sz="1100" b="1" i="0">
              <a:solidFill>
                <a:schemeClr val="lt1"/>
              </a:solidFill>
              <a:effectLst/>
              <a:latin typeface="+mn-lt"/>
              <a:ea typeface="+mn-ea"/>
              <a:cs typeface="+mn-cs"/>
            </a:rPr>
            <a:t>Fall 2028 </a:t>
          </a:r>
          <a:r>
            <a:rPr lang="en-US" sz="1100" b="0" i="0">
              <a:solidFill>
                <a:schemeClr val="lt1"/>
              </a:solidFill>
              <a:effectLst/>
              <a:latin typeface="+mn-lt"/>
              <a:ea typeface="+mn-ea"/>
              <a:cs typeface="+mn-cs"/>
            </a:rPr>
            <a:t>October 18–20, Marriott Marquis Washington, D.C. (Wed–Fri)</a:t>
          </a:r>
        </a:p>
        <a:p>
          <a:pPr algn="l"/>
          <a:endParaRPr lang="en-US" sz="1100" b="0" i="0" baseline="0">
            <a:solidFill>
              <a:schemeClr val="lt1"/>
            </a:solidFill>
            <a:effectLst/>
            <a:latin typeface="+mn-lt"/>
            <a:ea typeface="+mn-ea"/>
            <a:cs typeface="+mn-cs"/>
          </a:endParaRPr>
        </a:p>
      </xdr:txBody>
    </xdr:sp>
    <xdr:clientData/>
  </xdr:twoCellAnchor>
  <xdr:twoCellAnchor>
    <xdr:from>
      <xdr:col>0</xdr:col>
      <xdr:colOff>123825</xdr:colOff>
      <xdr:row>237</xdr:row>
      <xdr:rowOff>38101</xdr:rowOff>
    </xdr:from>
    <xdr:to>
      <xdr:col>4</xdr:col>
      <xdr:colOff>447675</xdr:colOff>
      <xdr:row>244</xdr:row>
      <xdr:rowOff>28575</xdr:rowOff>
    </xdr:to>
    <xdr:sp macro="" textlink="">
      <xdr:nvSpPr>
        <xdr:cNvPr id="102" name="Rectangle 101">
          <a:hlinkClick xmlns:r="http://schemas.openxmlformats.org/officeDocument/2006/relationships" r:id="rId9"/>
          <a:extLst>
            <a:ext uri="{FF2B5EF4-FFF2-40B4-BE49-F238E27FC236}">
              <a16:creationId xmlns:a16="http://schemas.microsoft.com/office/drawing/2014/main" id="{1AA04608-3C68-4A22-92B0-A7F3C69AE83C}"/>
            </a:ext>
          </a:extLst>
        </xdr:cNvPr>
        <xdr:cNvSpPr/>
      </xdr:nvSpPr>
      <xdr:spPr>
        <a:xfrm>
          <a:off x="123825" y="46596301"/>
          <a:ext cx="2762250" cy="132397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Spring 2025 Conference Registration – NAACOS</a:t>
          </a:r>
          <a:endParaRPr lang="en-US">
            <a:solidFill>
              <a:schemeClr val="bg1"/>
            </a:solidFill>
          </a:endParaRPr>
        </a:p>
        <a:p>
          <a:pPr algn="l"/>
          <a:endParaRPr lang="en-US">
            <a:solidFill>
              <a:schemeClr val="bg1"/>
            </a:solidFill>
          </a:endParaRPr>
        </a:p>
        <a:p>
          <a:pPr algn="l"/>
          <a:r>
            <a:rPr lang="en-US">
              <a:solidFill>
                <a:schemeClr val="bg1"/>
              </a:solidFill>
            </a:rPr>
            <a:t>Airline: $1,161.03,</a:t>
          </a:r>
          <a:r>
            <a:rPr lang="en-US" baseline="0">
              <a:solidFill>
                <a:schemeClr val="bg1"/>
              </a:solidFill>
            </a:rPr>
            <a:t> </a:t>
          </a:r>
          <a:r>
            <a:rPr lang="en-US">
              <a:solidFill>
                <a:schemeClr val="bg1"/>
              </a:solidFill>
            </a:rPr>
            <a:t>Hotel: $747,</a:t>
          </a:r>
          <a:r>
            <a:rPr lang="en-US" baseline="0">
              <a:solidFill>
                <a:schemeClr val="bg1"/>
              </a:solidFill>
            </a:rPr>
            <a:t> </a:t>
          </a:r>
          <a:r>
            <a:rPr lang="en-US">
              <a:solidFill>
                <a:schemeClr val="bg1"/>
              </a:solidFill>
            </a:rPr>
            <a:t>Registration:</a:t>
          </a:r>
          <a:r>
            <a:rPr lang="en-US" baseline="0">
              <a:solidFill>
                <a:schemeClr val="bg1"/>
              </a:solidFill>
            </a:rPr>
            <a:t> $2,290</a:t>
          </a:r>
          <a:endParaRPr lang="en-US">
            <a:solidFill>
              <a:schemeClr val="bg1"/>
            </a:solidFill>
          </a:endParaRPr>
        </a:p>
        <a:p>
          <a:pPr algn="l"/>
          <a:r>
            <a:rPr lang="en-US" sz="1100">
              <a:solidFill>
                <a:schemeClr val="bg1"/>
              </a:solidFill>
            </a:rPr>
            <a:t>Total: $4,198 (Not inclduing ground transportation</a:t>
          </a:r>
          <a:r>
            <a:rPr lang="en-US" sz="1100" baseline="0">
              <a:solidFill>
                <a:schemeClr val="bg1"/>
              </a:solidFill>
            </a:rPr>
            <a:t> and food)</a:t>
          </a:r>
          <a:endParaRPr lang="en-US" sz="1100">
            <a:solidFill>
              <a:schemeClr val="bg1"/>
            </a:solidFill>
          </a:endParaRPr>
        </a:p>
      </xdr:txBody>
    </xdr:sp>
    <xdr:clientData/>
  </xdr:twoCellAnchor>
  <xdr:twoCellAnchor>
    <xdr:from>
      <xdr:col>5</xdr:col>
      <xdr:colOff>0</xdr:colOff>
      <xdr:row>235</xdr:row>
      <xdr:rowOff>19050</xdr:rowOff>
    </xdr:from>
    <xdr:to>
      <xdr:col>9</xdr:col>
      <xdr:colOff>238125</xdr:colOff>
      <xdr:row>243</xdr:row>
      <xdr:rowOff>171450</xdr:rowOff>
    </xdr:to>
    <xdr:sp macro="" textlink="">
      <xdr:nvSpPr>
        <xdr:cNvPr id="103" name="Rectangle 102">
          <a:extLst>
            <a:ext uri="{FF2B5EF4-FFF2-40B4-BE49-F238E27FC236}">
              <a16:creationId xmlns:a16="http://schemas.microsoft.com/office/drawing/2014/main" id="{346B3929-E90D-41A0-9688-A7891ED09F04}"/>
            </a:ext>
          </a:extLst>
        </xdr:cNvPr>
        <xdr:cNvSpPr/>
      </xdr:nvSpPr>
      <xdr:spPr>
        <a:xfrm>
          <a:off x="3048000" y="21059775"/>
          <a:ext cx="2676525" cy="1676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Clinical Leaders of ACOs</a:t>
          </a:r>
        </a:p>
        <a:p>
          <a:r>
            <a:rPr lang="en-US" sz="1100" b="0" i="0">
              <a:solidFill>
                <a:schemeClr val="lt1"/>
              </a:solidFill>
              <a:effectLst/>
              <a:latin typeface="+mn-lt"/>
              <a:ea typeface="+mn-ea"/>
              <a:cs typeface="+mn-cs"/>
            </a:rPr>
            <a:t>Administrators of ACOs</a:t>
          </a:r>
        </a:p>
        <a:p>
          <a:r>
            <a:rPr lang="en-US" sz="1100" b="0" i="0">
              <a:solidFill>
                <a:schemeClr val="lt1"/>
              </a:solidFill>
              <a:effectLst/>
              <a:latin typeface="+mn-lt"/>
              <a:ea typeface="+mn-ea"/>
              <a:cs typeface="+mn-cs"/>
            </a:rPr>
            <a:t>Executives considering the ACO model</a:t>
          </a:r>
        </a:p>
        <a:p>
          <a:r>
            <a:rPr lang="en-US" sz="1100" b="0" i="0">
              <a:solidFill>
                <a:schemeClr val="lt1"/>
              </a:solidFill>
              <a:effectLst/>
              <a:latin typeface="+mn-lt"/>
              <a:ea typeface="+mn-ea"/>
              <a:cs typeface="+mn-cs"/>
            </a:rPr>
            <a:t>CMS Officials</a:t>
          </a:r>
        </a:p>
        <a:p>
          <a:r>
            <a:rPr lang="en-US" sz="1100" b="0" i="0">
              <a:solidFill>
                <a:schemeClr val="lt1"/>
              </a:solidFill>
              <a:effectLst/>
              <a:latin typeface="+mn-lt"/>
              <a:ea typeface="+mn-ea"/>
              <a:cs typeface="+mn-cs"/>
            </a:rPr>
            <a:t>Private Payers</a:t>
          </a:r>
        </a:p>
        <a:p>
          <a:r>
            <a:rPr lang="en-US" sz="1100" b="0" i="0">
              <a:solidFill>
                <a:schemeClr val="lt1"/>
              </a:solidFill>
              <a:effectLst/>
              <a:latin typeface="+mn-lt"/>
              <a:ea typeface="+mn-ea"/>
              <a:cs typeface="+mn-cs"/>
            </a:rPr>
            <a:t>Industry Partners</a:t>
          </a:r>
        </a:p>
      </xdr:txBody>
    </xdr:sp>
    <xdr:clientData/>
  </xdr:twoCellAnchor>
  <xdr:twoCellAnchor>
    <xdr:from>
      <xdr:col>0</xdr:col>
      <xdr:colOff>104775</xdr:colOff>
      <xdr:row>245</xdr:row>
      <xdr:rowOff>123825</xdr:rowOff>
    </xdr:from>
    <xdr:to>
      <xdr:col>4</xdr:col>
      <xdr:colOff>76200</xdr:colOff>
      <xdr:row>248</xdr:row>
      <xdr:rowOff>19050</xdr:rowOff>
    </xdr:to>
    <xdr:sp macro="" textlink="">
      <xdr:nvSpPr>
        <xdr:cNvPr id="121" name="Rectangle 120">
          <a:extLst>
            <a:ext uri="{FF2B5EF4-FFF2-40B4-BE49-F238E27FC236}">
              <a16:creationId xmlns:a16="http://schemas.microsoft.com/office/drawing/2014/main" id="{C3919EEB-E0B0-4189-9C6F-7E2AAB23F250}"/>
            </a:ext>
          </a:extLst>
        </xdr:cNvPr>
        <xdr:cNvSpPr/>
      </xdr:nvSpPr>
      <xdr:spPr>
        <a:xfrm>
          <a:off x="104775" y="47891700"/>
          <a:ext cx="2409825" cy="4667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Strategies shared here could benefit all - target for Alante</a:t>
          </a:r>
          <a:endParaRPr lang="en-US" sz="1100"/>
        </a:p>
      </xdr:txBody>
    </xdr:sp>
    <xdr:clientData/>
  </xdr:twoCellAnchor>
  <xdr:twoCellAnchor>
    <xdr:from>
      <xdr:col>0</xdr:col>
      <xdr:colOff>104775</xdr:colOff>
      <xdr:row>250</xdr:row>
      <xdr:rowOff>76200</xdr:rowOff>
    </xdr:from>
    <xdr:to>
      <xdr:col>4</xdr:col>
      <xdr:colOff>76200</xdr:colOff>
      <xdr:row>252</xdr:row>
      <xdr:rowOff>123825</xdr:rowOff>
    </xdr:to>
    <xdr:sp macro="" textlink="">
      <xdr:nvSpPr>
        <xdr:cNvPr id="124" name="Rectangle 123">
          <a:hlinkClick xmlns:r="http://schemas.openxmlformats.org/officeDocument/2006/relationships" r:id="rId10"/>
          <a:extLst>
            <a:ext uri="{FF2B5EF4-FFF2-40B4-BE49-F238E27FC236}">
              <a16:creationId xmlns:a16="http://schemas.microsoft.com/office/drawing/2014/main" id="{E8D2ED46-A282-46E4-B187-B294CE419C25}"/>
            </a:ext>
          </a:extLst>
        </xdr:cNvPr>
        <xdr:cNvSpPr/>
      </xdr:nvSpPr>
      <xdr:spPr>
        <a:xfrm>
          <a:off x="104775" y="48796575"/>
          <a:ext cx="2409825" cy="428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Spring 2025 Conference – NAACOS</a:t>
          </a:r>
          <a:endParaRPr lang="en-US">
            <a:solidFill>
              <a:schemeClr val="bg1"/>
            </a:solidFill>
          </a:endParaRPr>
        </a:p>
        <a:p>
          <a:pPr algn="l"/>
          <a:endParaRPr lang="en-US" sz="1100">
            <a:solidFill>
              <a:schemeClr val="bg1"/>
            </a:solidFill>
          </a:endParaRPr>
        </a:p>
      </xdr:txBody>
    </xdr:sp>
    <xdr:clientData/>
  </xdr:twoCellAnchor>
  <xdr:twoCellAnchor>
    <xdr:from>
      <xdr:col>10</xdr:col>
      <xdr:colOff>57150</xdr:colOff>
      <xdr:row>210</xdr:row>
      <xdr:rowOff>9525</xdr:rowOff>
    </xdr:from>
    <xdr:to>
      <xdr:col>13</xdr:col>
      <xdr:colOff>552450</xdr:colOff>
      <xdr:row>213</xdr:row>
      <xdr:rowOff>104774</xdr:rowOff>
    </xdr:to>
    <xdr:sp macro="" textlink="">
      <xdr:nvSpPr>
        <xdr:cNvPr id="125" name="Rectangle 124">
          <a:extLst>
            <a:ext uri="{FF2B5EF4-FFF2-40B4-BE49-F238E27FC236}">
              <a16:creationId xmlns:a16="http://schemas.microsoft.com/office/drawing/2014/main" id="{F56A66EC-EF45-42C5-A38F-205245D81F5C}"/>
            </a:ext>
          </a:extLst>
        </xdr:cNvPr>
        <xdr:cNvSpPr/>
      </xdr:nvSpPr>
      <xdr:spPr>
        <a:xfrm>
          <a:off x="6153150" y="16240125"/>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Pending Approval...</a:t>
          </a:r>
        </a:p>
      </xdr:txBody>
    </xdr:sp>
    <xdr:clientData/>
  </xdr:twoCellAnchor>
  <xdr:twoCellAnchor>
    <xdr:from>
      <xdr:col>0</xdr:col>
      <xdr:colOff>95250</xdr:colOff>
      <xdr:row>256</xdr:row>
      <xdr:rowOff>95250</xdr:rowOff>
    </xdr:from>
    <xdr:to>
      <xdr:col>0</xdr:col>
      <xdr:colOff>438150</xdr:colOff>
      <xdr:row>258</xdr:row>
      <xdr:rowOff>28575</xdr:rowOff>
    </xdr:to>
    <xdr:sp macro="" textlink="">
      <xdr:nvSpPr>
        <xdr:cNvPr id="126" name="Star: 5 Points 125">
          <a:extLst>
            <a:ext uri="{FF2B5EF4-FFF2-40B4-BE49-F238E27FC236}">
              <a16:creationId xmlns:a16="http://schemas.microsoft.com/office/drawing/2014/main" id="{FFE9DAAE-BFB0-4F0B-A7FB-3C007276BDFB}"/>
            </a:ext>
          </a:extLst>
        </xdr:cNvPr>
        <xdr:cNvSpPr/>
      </xdr:nvSpPr>
      <xdr:spPr>
        <a:xfrm>
          <a:off x="95250" y="165258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256</xdr:row>
      <xdr:rowOff>114300</xdr:rowOff>
    </xdr:from>
    <xdr:to>
      <xdr:col>1</xdr:col>
      <xdr:colOff>247650</xdr:colOff>
      <xdr:row>258</xdr:row>
      <xdr:rowOff>47625</xdr:rowOff>
    </xdr:to>
    <xdr:sp macro="" textlink="">
      <xdr:nvSpPr>
        <xdr:cNvPr id="127" name="Star: 5 Points 126">
          <a:extLst>
            <a:ext uri="{FF2B5EF4-FFF2-40B4-BE49-F238E27FC236}">
              <a16:creationId xmlns:a16="http://schemas.microsoft.com/office/drawing/2014/main" id="{6086F617-0980-4B04-B717-07F7D12C20BA}"/>
            </a:ext>
          </a:extLst>
        </xdr:cNvPr>
        <xdr:cNvSpPr/>
      </xdr:nvSpPr>
      <xdr:spPr>
        <a:xfrm>
          <a:off x="514350"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256</xdr:row>
      <xdr:rowOff>114300</xdr:rowOff>
    </xdr:from>
    <xdr:to>
      <xdr:col>2</xdr:col>
      <xdr:colOff>76200</xdr:colOff>
      <xdr:row>258</xdr:row>
      <xdr:rowOff>47625</xdr:rowOff>
    </xdr:to>
    <xdr:sp macro="" textlink="">
      <xdr:nvSpPr>
        <xdr:cNvPr id="1024" name="Star: 5 Points 1023">
          <a:extLst>
            <a:ext uri="{FF2B5EF4-FFF2-40B4-BE49-F238E27FC236}">
              <a16:creationId xmlns:a16="http://schemas.microsoft.com/office/drawing/2014/main" id="{F246BE94-4115-49B1-804A-F1EC23E35B9C}"/>
            </a:ext>
          </a:extLst>
        </xdr:cNvPr>
        <xdr:cNvSpPr/>
      </xdr:nvSpPr>
      <xdr:spPr>
        <a:xfrm>
          <a:off x="952500"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256</xdr:row>
      <xdr:rowOff>114300</xdr:rowOff>
    </xdr:from>
    <xdr:to>
      <xdr:col>2</xdr:col>
      <xdr:colOff>523875</xdr:colOff>
      <xdr:row>258</xdr:row>
      <xdr:rowOff>47625</xdr:rowOff>
    </xdr:to>
    <xdr:sp macro="" textlink="">
      <xdr:nvSpPr>
        <xdr:cNvPr id="1026" name="Star: 5 Points 1025">
          <a:extLst>
            <a:ext uri="{FF2B5EF4-FFF2-40B4-BE49-F238E27FC236}">
              <a16:creationId xmlns:a16="http://schemas.microsoft.com/office/drawing/2014/main" id="{26DB17C1-834B-4AB3-8CBB-D639E7278450}"/>
            </a:ext>
          </a:extLst>
        </xdr:cNvPr>
        <xdr:cNvSpPr/>
      </xdr:nvSpPr>
      <xdr:spPr>
        <a:xfrm>
          <a:off x="1400175" y="165449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256</xdr:row>
      <xdr:rowOff>123825</xdr:rowOff>
    </xdr:from>
    <xdr:to>
      <xdr:col>3</xdr:col>
      <xdr:colOff>342900</xdr:colOff>
      <xdr:row>258</xdr:row>
      <xdr:rowOff>57150</xdr:rowOff>
    </xdr:to>
    <xdr:sp macro="" textlink="">
      <xdr:nvSpPr>
        <xdr:cNvPr id="1027" name="Star: 5 Points 1026">
          <a:extLst>
            <a:ext uri="{FF2B5EF4-FFF2-40B4-BE49-F238E27FC236}">
              <a16:creationId xmlns:a16="http://schemas.microsoft.com/office/drawing/2014/main" id="{A243B6CA-8A09-42D9-A340-EB07CB1F6963}"/>
            </a:ext>
          </a:extLst>
        </xdr:cNvPr>
        <xdr:cNvSpPr/>
      </xdr:nvSpPr>
      <xdr:spPr>
        <a:xfrm>
          <a:off x="1828800" y="165544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260</xdr:row>
      <xdr:rowOff>57151</xdr:rowOff>
    </xdr:from>
    <xdr:to>
      <xdr:col>4</xdr:col>
      <xdr:colOff>57150</xdr:colOff>
      <xdr:row>264</xdr:row>
      <xdr:rowOff>9526</xdr:rowOff>
    </xdr:to>
    <xdr:sp macro="" textlink="">
      <xdr:nvSpPr>
        <xdr:cNvPr id="1028" name="Rectangle 1027">
          <a:extLst>
            <a:ext uri="{FF2B5EF4-FFF2-40B4-BE49-F238E27FC236}">
              <a16:creationId xmlns:a16="http://schemas.microsoft.com/office/drawing/2014/main" id="{16D55AB9-44CE-431E-A68E-791867583EED}"/>
            </a:ext>
          </a:extLst>
        </xdr:cNvPr>
        <xdr:cNvSpPr/>
      </xdr:nvSpPr>
      <xdr:spPr>
        <a:xfrm>
          <a:off x="85725" y="17259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266</xdr:row>
      <xdr:rowOff>76201</xdr:rowOff>
    </xdr:from>
    <xdr:to>
      <xdr:col>4</xdr:col>
      <xdr:colOff>57150</xdr:colOff>
      <xdr:row>270</xdr:row>
      <xdr:rowOff>38101</xdr:rowOff>
    </xdr:to>
    <xdr:sp macro="" textlink="">
      <xdr:nvSpPr>
        <xdr:cNvPr id="1029" name="Rectangle 1028">
          <a:extLst>
            <a:ext uri="{FF2B5EF4-FFF2-40B4-BE49-F238E27FC236}">
              <a16:creationId xmlns:a16="http://schemas.microsoft.com/office/drawing/2014/main" id="{5E6BF500-1234-40EB-B01C-A18F3F2187B8}"/>
            </a:ext>
          </a:extLst>
        </xdr:cNvPr>
        <xdr:cNvSpPr/>
      </xdr:nvSpPr>
      <xdr:spPr>
        <a:xfrm>
          <a:off x="85725" y="18440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272</xdr:row>
      <xdr:rowOff>123825</xdr:rowOff>
    </xdr:from>
    <xdr:to>
      <xdr:col>4</xdr:col>
      <xdr:colOff>76200</xdr:colOff>
      <xdr:row>281</xdr:row>
      <xdr:rowOff>9525</xdr:rowOff>
    </xdr:to>
    <xdr:sp macro="" textlink="">
      <xdr:nvSpPr>
        <xdr:cNvPr id="1030" name="Rectangle 1029">
          <a:extLst>
            <a:ext uri="{FF2B5EF4-FFF2-40B4-BE49-F238E27FC236}">
              <a16:creationId xmlns:a16="http://schemas.microsoft.com/office/drawing/2014/main" id="{2468D636-98B4-44C5-BA0E-395B52BB1264}"/>
            </a:ext>
          </a:extLst>
        </xdr:cNvPr>
        <xdr:cNvSpPr/>
      </xdr:nvSpPr>
      <xdr:spPr>
        <a:xfrm>
          <a:off x="104775" y="196405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260</xdr:row>
      <xdr:rowOff>38100</xdr:rowOff>
    </xdr:from>
    <xdr:to>
      <xdr:col>8</xdr:col>
      <xdr:colOff>561975</xdr:colOff>
      <xdr:row>262</xdr:row>
      <xdr:rowOff>161925</xdr:rowOff>
    </xdr:to>
    <xdr:sp macro="" textlink="">
      <xdr:nvSpPr>
        <xdr:cNvPr id="1031" name="Rectangle 1030">
          <a:extLst>
            <a:ext uri="{FF2B5EF4-FFF2-40B4-BE49-F238E27FC236}">
              <a16:creationId xmlns:a16="http://schemas.microsoft.com/office/drawing/2014/main" id="{C5EAFFCD-FAC5-4DBF-A9C4-9955A069EB25}"/>
            </a:ext>
          </a:extLst>
        </xdr:cNvPr>
        <xdr:cNvSpPr/>
      </xdr:nvSpPr>
      <xdr:spPr>
        <a:xfrm>
          <a:off x="3028950" y="172402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266</xdr:row>
      <xdr:rowOff>76201</xdr:rowOff>
    </xdr:from>
    <xdr:to>
      <xdr:col>8</xdr:col>
      <xdr:colOff>561975</xdr:colOff>
      <xdr:row>270</xdr:row>
      <xdr:rowOff>38101</xdr:rowOff>
    </xdr:to>
    <xdr:sp macro="" textlink="">
      <xdr:nvSpPr>
        <xdr:cNvPr id="1032" name="Rectangle 1031">
          <a:extLst>
            <a:ext uri="{FF2B5EF4-FFF2-40B4-BE49-F238E27FC236}">
              <a16:creationId xmlns:a16="http://schemas.microsoft.com/office/drawing/2014/main" id="{77CAA59B-6AF9-4D1A-9364-5AEED4FC13C7}"/>
            </a:ext>
          </a:extLst>
        </xdr:cNvPr>
        <xdr:cNvSpPr/>
      </xdr:nvSpPr>
      <xdr:spPr>
        <a:xfrm>
          <a:off x="3028950" y="184404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272</xdr:row>
      <xdr:rowOff>104775</xdr:rowOff>
    </xdr:from>
    <xdr:to>
      <xdr:col>9</xdr:col>
      <xdr:colOff>333376</xdr:colOff>
      <xdr:row>274</xdr:row>
      <xdr:rowOff>171450</xdr:rowOff>
    </xdr:to>
    <xdr:sp macro="" textlink="">
      <xdr:nvSpPr>
        <xdr:cNvPr id="1033" name="Rectangle 1032">
          <a:extLst>
            <a:ext uri="{FF2B5EF4-FFF2-40B4-BE49-F238E27FC236}">
              <a16:creationId xmlns:a16="http://schemas.microsoft.com/office/drawing/2014/main" id="{0E1164D6-06E0-4C30-A6C9-21170088FAC7}"/>
            </a:ext>
          </a:extLst>
        </xdr:cNvPr>
        <xdr:cNvSpPr/>
      </xdr:nvSpPr>
      <xdr:spPr>
        <a:xfrm>
          <a:off x="3019426" y="53606700"/>
          <a:ext cx="2800350"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Kerri and a representative from each line of business, SNF, Home Health &amp; Hospice</a:t>
          </a:r>
          <a:endParaRPr lang="en-US" sz="1100"/>
        </a:p>
      </xdr:txBody>
    </xdr:sp>
    <xdr:clientData/>
  </xdr:twoCellAnchor>
  <xdr:twoCellAnchor>
    <xdr:from>
      <xdr:col>4</xdr:col>
      <xdr:colOff>581025</xdr:colOff>
      <xdr:row>276</xdr:row>
      <xdr:rowOff>95250</xdr:rowOff>
    </xdr:from>
    <xdr:to>
      <xdr:col>6</xdr:col>
      <xdr:colOff>123824</xdr:colOff>
      <xdr:row>278</xdr:row>
      <xdr:rowOff>47625</xdr:rowOff>
    </xdr:to>
    <xdr:sp macro="" textlink="">
      <xdr:nvSpPr>
        <xdr:cNvPr id="1034" name="Rectangle 1033">
          <a:extLst>
            <a:ext uri="{FF2B5EF4-FFF2-40B4-BE49-F238E27FC236}">
              <a16:creationId xmlns:a16="http://schemas.microsoft.com/office/drawing/2014/main" id="{A7A73BF2-D90B-4635-899D-88DED57A7A42}"/>
            </a:ext>
          </a:extLst>
        </xdr:cNvPr>
        <xdr:cNvSpPr/>
      </xdr:nvSpPr>
      <xdr:spPr>
        <a:xfrm>
          <a:off x="3019425" y="543591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200-300</a:t>
          </a:r>
        </a:p>
        <a:p>
          <a:pPr algn="l"/>
          <a:endParaRPr lang="en-US" sz="1100"/>
        </a:p>
      </xdr:txBody>
    </xdr:sp>
    <xdr:clientData/>
  </xdr:twoCellAnchor>
  <xdr:twoCellAnchor>
    <xdr:from>
      <xdr:col>9</xdr:col>
      <xdr:colOff>428625</xdr:colOff>
      <xdr:row>260</xdr:row>
      <xdr:rowOff>19049</xdr:rowOff>
    </xdr:from>
    <xdr:to>
      <xdr:col>13</xdr:col>
      <xdr:colOff>400050</xdr:colOff>
      <xdr:row>289</xdr:row>
      <xdr:rowOff>19050</xdr:rowOff>
    </xdr:to>
    <xdr:sp macro="" textlink="">
      <xdr:nvSpPr>
        <xdr:cNvPr id="1035" name="Rectangle 1034">
          <a:extLst>
            <a:ext uri="{FF2B5EF4-FFF2-40B4-BE49-F238E27FC236}">
              <a16:creationId xmlns:a16="http://schemas.microsoft.com/office/drawing/2014/main" id="{EBAD7672-2C14-4A4E-BC49-BF583E13AEAF}"/>
            </a:ext>
          </a:extLst>
        </xdr:cNvPr>
        <xdr:cNvSpPr/>
      </xdr:nvSpPr>
      <xdr:spPr>
        <a:xfrm>
          <a:off x="5915025" y="17221199"/>
          <a:ext cx="2409825" cy="55530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TCM/CCM opportunities through Home Health providers, connections with CM leaders &amp; professionals at the Payer, System and other levels.</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The annual conference is an all-day event that brings in more than 200 attendees, including case managers, social workers, and other allied health care professional from Arizona and neighboring states. The conference provides a forum for exhibitors to present material and information about their companies and services, as well as an excellent opportunity for recruitment. These opportunities increase with the higher levels of sponsorship. </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Double Tree Resort,</a:t>
          </a:r>
          <a:r>
            <a:rPr lang="en-US" sz="1100" b="0" i="0" baseline="0">
              <a:solidFill>
                <a:schemeClr val="lt1"/>
              </a:solidFill>
              <a:effectLst/>
              <a:latin typeface="+mn-lt"/>
              <a:ea typeface="+mn-ea"/>
              <a:cs typeface="+mn-cs"/>
            </a:rPr>
            <a:t> </a:t>
          </a:r>
          <a:r>
            <a:rPr lang="en-US" sz="1100" b="0" i="0">
              <a:solidFill>
                <a:schemeClr val="lt1"/>
              </a:solidFill>
              <a:effectLst/>
              <a:latin typeface="+mn-lt"/>
              <a:ea typeface="+mn-ea"/>
              <a:cs typeface="+mn-cs"/>
            </a:rPr>
            <a:t>Scottsdale AZ</a:t>
          </a:r>
          <a:endParaRPr lang="en-US" sz="1100"/>
        </a:p>
      </xdr:txBody>
    </xdr:sp>
    <xdr:clientData/>
  </xdr:twoCellAnchor>
  <xdr:twoCellAnchor>
    <xdr:from>
      <xdr:col>0</xdr:col>
      <xdr:colOff>123825</xdr:colOff>
      <xdr:row>283</xdr:row>
      <xdr:rowOff>85725</xdr:rowOff>
    </xdr:from>
    <xdr:to>
      <xdr:col>4</xdr:col>
      <xdr:colOff>495300</xdr:colOff>
      <xdr:row>294</xdr:row>
      <xdr:rowOff>123825</xdr:rowOff>
    </xdr:to>
    <xdr:sp macro="" textlink="">
      <xdr:nvSpPr>
        <xdr:cNvPr id="1036" name="Rectangle 1035">
          <a:extLst>
            <a:ext uri="{FF2B5EF4-FFF2-40B4-BE49-F238E27FC236}">
              <a16:creationId xmlns:a16="http://schemas.microsoft.com/office/drawing/2014/main" id="{402FFBD8-9C63-43FA-8F50-69DED922AA36}"/>
            </a:ext>
          </a:extLst>
        </xdr:cNvPr>
        <xdr:cNvSpPr/>
      </xdr:nvSpPr>
      <xdr:spPr>
        <a:xfrm>
          <a:off x="123825" y="55616475"/>
          <a:ext cx="2809875" cy="2133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No Travel, etc., an exhibitor table can be reserved at the following levels: $150 - Members $175 - Non-members, $1750 - Superheroes, $3500 - Protectors, $5000 - Defenders, $7500 - Guardians </a:t>
          </a:r>
        </a:p>
        <a:p>
          <a:endParaRPr lang="en-US" sz="1100"/>
        </a:p>
        <a:p>
          <a:r>
            <a:rPr lang="en-US" sz="1100"/>
            <a:t>$1,750</a:t>
          </a:r>
          <a:r>
            <a:rPr lang="en-US" sz="1100" baseline="0"/>
            <a:t> - B/W all four Sante's (so $437.50 each) </a:t>
          </a:r>
        </a:p>
        <a:p>
          <a:endParaRPr lang="en-US" sz="1100" baseline="0"/>
        </a:p>
        <a:p>
          <a:r>
            <a:rPr lang="en-US" sz="1100" baseline="0"/>
            <a:t>$1,750 - B/W Aleca and Alante (so $875 each) </a:t>
          </a:r>
        </a:p>
        <a:p>
          <a:endParaRPr lang="en-US" sz="1100" baseline="0"/>
        </a:p>
        <a:p>
          <a:r>
            <a:rPr lang="en-US" sz="1100" baseline="0"/>
            <a:t>Total = $3,500</a:t>
          </a:r>
          <a:endParaRPr lang="en-US" sz="1100"/>
        </a:p>
      </xdr:txBody>
    </xdr:sp>
    <xdr:clientData/>
  </xdr:twoCellAnchor>
  <xdr:twoCellAnchor>
    <xdr:from>
      <xdr:col>5</xdr:col>
      <xdr:colOff>0</xdr:colOff>
      <xdr:row>280</xdr:row>
      <xdr:rowOff>19050</xdr:rowOff>
    </xdr:from>
    <xdr:to>
      <xdr:col>9</xdr:col>
      <xdr:colOff>238125</xdr:colOff>
      <xdr:row>288</xdr:row>
      <xdr:rowOff>152400</xdr:rowOff>
    </xdr:to>
    <xdr:sp macro="" textlink="">
      <xdr:nvSpPr>
        <xdr:cNvPr id="1037" name="Rectangle 1036">
          <a:extLst>
            <a:ext uri="{FF2B5EF4-FFF2-40B4-BE49-F238E27FC236}">
              <a16:creationId xmlns:a16="http://schemas.microsoft.com/office/drawing/2014/main" id="{E1ECB0AC-E90F-4DFD-B699-7FFF98792456}"/>
            </a:ext>
          </a:extLst>
        </xdr:cNvPr>
        <xdr:cNvSpPr/>
      </xdr:nvSpPr>
      <xdr:spPr>
        <a:xfrm>
          <a:off x="3048000" y="55044975"/>
          <a:ext cx="2676525" cy="1657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Case Managers, Social Workers at the Payer, System, Hospital and Post-acute levels</a:t>
          </a:r>
          <a:endParaRPr lang="en-US" sz="1100"/>
        </a:p>
      </xdr:txBody>
    </xdr:sp>
    <xdr:clientData/>
  </xdr:twoCellAnchor>
  <xdr:twoCellAnchor>
    <xdr:from>
      <xdr:col>4</xdr:col>
      <xdr:colOff>552450</xdr:colOff>
      <xdr:row>290</xdr:row>
      <xdr:rowOff>152400</xdr:rowOff>
    </xdr:from>
    <xdr:to>
      <xdr:col>8</xdr:col>
      <xdr:colOff>523875</xdr:colOff>
      <xdr:row>292</xdr:row>
      <xdr:rowOff>123825</xdr:rowOff>
    </xdr:to>
    <xdr:sp macro="" textlink="">
      <xdr:nvSpPr>
        <xdr:cNvPr id="1038" name="Rectangle 1037">
          <a:extLst>
            <a:ext uri="{FF2B5EF4-FFF2-40B4-BE49-F238E27FC236}">
              <a16:creationId xmlns:a16="http://schemas.microsoft.com/office/drawing/2014/main" id="{1A395CB9-2369-4B4A-9FD5-FD21DC4F78B2}"/>
            </a:ext>
          </a:extLst>
        </xdr:cNvPr>
        <xdr:cNvSpPr/>
      </xdr:nvSpPr>
      <xdr:spPr>
        <a:xfrm>
          <a:off x="2990850" y="2309812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Sante, Aleca</a:t>
          </a:r>
          <a:endParaRPr lang="en-US" sz="1100"/>
        </a:p>
      </xdr:txBody>
    </xdr:sp>
    <xdr:clientData/>
  </xdr:twoCellAnchor>
  <xdr:twoCellAnchor>
    <xdr:from>
      <xdr:col>9</xdr:col>
      <xdr:colOff>419100</xdr:colOff>
      <xdr:row>291</xdr:row>
      <xdr:rowOff>85725</xdr:rowOff>
    </xdr:from>
    <xdr:to>
      <xdr:col>13</xdr:col>
      <xdr:colOff>390525</xdr:colOff>
      <xdr:row>293</xdr:row>
      <xdr:rowOff>133350</xdr:rowOff>
    </xdr:to>
    <xdr:sp macro="" textlink="">
      <xdr:nvSpPr>
        <xdr:cNvPr id="1039" name="Rectangle 1038">
          <a:hlinkClick xmlns:r="http://schemas.openxmlformats.org/officeDocument/2006/relationships" r:id="rId11"/>
          <a:extLst>
            <a:ext uri="{FF2B5EF4-FFF2-40B4-BE49-F238E27FC236}">
              <a16:creationId xmlns:a16="http://schemas.microsoft.com/office/drawing/2014/main" id="{E4D49A8E-5A2D-4BAC-A018-C482402ECDE5}"/>
            </a:ext>
          </a:extLst>
        </xdr:cNvPr>
        <xdr:cNvSpPr/>
      </xdr:nvSpPr>
      <xdr:spPr>
        <a:xfrm>
          <a:off x="5905500" y="57207150"/>
          <a:ext cx="2409825" cy="428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CMSA Central Arizona Chapter - Events</a:t>
          </a:r>
          <a:endParaRPr lang="en-US" sz="1100">
            <a:solidFill>
              <a:schemeClr val="bg1"/>
            </a:solidFill>
          </a:endParaRPr>
        </a:p>
      </xdr:txBody>
    </xdr:sp>
    <xdr:clientData/>
  </xdr:twoCellAnchor>
  <xdr:twoCellAnchor>
    <xdr:from>
      <xdr:col>0</xdr:col>
      <xdr:colOff>95250</xdr:colOff>
      <xdr:row>298</xdr:row>
      <xdr:rowOff>95250</xdr:rowOff>
    </xdr:from>
    <xdr:to>
      <xdr:col>0</xdr:col>
      <xdr:colOff>438150</xdr:colOff>
      <xdr:row>300</xdr:row>
      <xdr:rowOff>28575</xdr:rowOff>
    </xdr:to>
    <xdr:sp macro="" textlink="">
      <xdr:nvSpPr>
        <xdr:cNvPr id="1058" name="Star: 5 Points 1057">
          <a:extLst>
            <a:ext uri="{FF2B5EF4-FFF2-40B4-BE49-F238E27FC236}">
              <a16:creationId xmlns:a16="http://schemas.microsoft.com/office/drawing/2014/main" id="{860C1525-0AB8-4235-A083-5D92F6C8787C}"/>
            </a:ext>
          </a:extLst>
        </xdr:cNvPr>
        <xdr:cNvSpPr/>
      </xdr:nvSpPr>
      <xdr:spPr>
        <a:xfrm>
          <a:off x="95250" y="5051107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298</xdr:row>
      <xdr:rowOff>114300</xdr:rowOff>
    </xdr:from>
    <xdr:to>
      <xdr:col>1</xdr:col>
      <xdr:colOff>247650</xdr:colOff>
      <xdr:row>300</xdr:row>
      <xdr:rowOff>47625</xdr:rowOff>
    </xdr:to>
    <xdr:sp macro="" textlink="">
      <xdr:nvSpPr>
        <xdr:cNvPr id="1059" name="Star: 5 Points 1058">
          <a:extLst>
            <a:ext uri="{FF2B5EF4-FFF2-40B4-BE49-F238E27FC236}">
              <a16:creationId xmlns:a16="http://schemas.microsoft.com/office/drawing/2014/main" id="{E6F5B9A0-D6C7-4BC9-9AF3-EF67C4983ABC}"/>
            </a:ext>
          </a:extLst>
        </xdr:cNvPr>
        <xdr:cNvSpPr/>
      </xdr:nvSpPr>
      <xdr:spPr>
        <a:xfrm>
          <a:off x="514350" y="5053012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298</xdr:row>
      <xdr:rowOff>114300</xdr:rowOff>
    </xdr:from>
    <xdr:to>
      <xdr:col>2</xdr:col>
      <xdr:colOff>76200</xdr:colOff>
      <xdr:row>300</xdr:row>
      <xdr:rowOff>47625</xdr:rowOff>
    </xdr:to>
    <xdr:sp macro="" textlink="">
      <xdr:nvSpPr>
        <xdr:cNvPr id="1060" name="Star: 5 Points 1059">
          <a:extLst>
            <a:ext uri="{FF2B5EF4-FFF2-40B4-BE49-F238E27FC236}">
              <a16:creationId xmlns:a16="http://schemas.microsoft.com/office/drawing/2014/main" id="{152237B1-872D-4178-A479-A3B99A22CD57}"/>
            </a:ext>
          </a:extLst>
        </xdr:cNvPr>
        <xdr:cNvSpPr/>
      </xdr:nvSpPr>
      <xdr:spPr>
        <a:xfrm>
          <a:off x="952500" y="5053012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298</xdr:row>
      <xdr:rowOff>114300</xdr:rowOff>
    </xdr:from>
    <xdr:to>
      <xdr:col>2</xdr:col>
      <xdr:colOff>523875</xdr:colOff>
      <xdr:row>300</xdr:row>
      <xdr:rowOff>47625</xdr:rowOff>
    </xdr:to>
    <xdr:sp macro="" textlink="">
      <xdr:nvSpPr>
        <xdr:cNvPr id="1061" name="Star: 5 Points 1060">
          <a:extLst>
            <a:ext uri="{FF2B5EF4-FFF2-40B4-BE49-F238E27FC236}">
              <a16:creationId xmlns:a16="http://schemas.microsoft.com/office/drawing/2014/main" id="{4EE99FCF-BFE4-44E9-8A6F-6AD2EFAE0714}"/>
            </a:ext>
          </a:extLst>
        </xdr:cNvPr>
        <xdr:cNvSpPr/>
      </xdr:nvSpPr>
      <xdr:spPr>
        <a:xfrm>
          <a:off x="1400175" y="50530125"/>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298</xdr:row>
      <xdr:rowOff>123825</xdr:rowOff>
    </xdr:from>
    <xdr:to>
      <xdr:col>3</xdr:col>
      <xdr:colOff>342900</xdr:colOff>
      <xdr:row>300</xdr:row>
      <xdr:rowOff>57150</xdr:rowOff>
    </xdr:to>
    <xdr:sp macro="" textlink="">
      <xdr:nvSpPr>
        <xdr:cNvPr id="1062" name="Star: 5 Points 1061">
          <a:extLst>
            <a:ext uri="{FF2B5EF4-FFF2-40B4-BE49-F238E27FC236}">
              <a16:creationId xmlns:a16="http://schemas.microsoft.com/office/drawing/2014/main" id="{D80BEE20-82FF-4CD1-9344-7BD7349DEC99}"/>
            </a:ext>
          </a:extLst>
        </xdr:cNvPr>
        <xdr:cNvSpPr/>
      </xdr:nvSpPr>
      <xdr:spPr>
        <a:xfrm>
          <a:off x="1828800" y="50539650"/>
          <a:ext cx="342900" cy="314325"/>
        </a:xfrm>
        <a:prstGeom prst="star5">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302</xdr:row>
      <xdr:rowOff>57151</xdr:rowOff>
    </xdr:from>
    <xdr:to>
      <xdr:col>4</xdr:col>
      <xdr:colOff>57150</xdr:colOff>
      <xdr:row>306</xdr:row>
      <xdr:rowOff>9526</xdr:rowOff>
    </xdr:to>
    <xdr:sp macro="" textlink="">
      <xdr:nvSpPr>
        <xdr:cNvPr id="1063" name="Rectangle 1062">
          <a:extLst>
            <a:ext uri="{FF2B5EF4-FFF2-40B4-BE49-F238E27FC236}">
              <a16:creationId xmlns:a16="http://schemas.microsoft.com/office/drawing/2014/main" id="{4ADE1C4F-24D1-4CF2-A63E-0A66531B75A8}"/>
            </a:ext>
          </a:extLst>
        </xdr:cNvPr>
        <xdr:cNvSpPr/>
      </xdr:nvSpPr>
      <xdr:spPr>
        <a:xfrm>
          <a:off x="85725" y="512445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308</xdr:row>
      <xdr:rowOff>76201</xdr:rowOff>
    </xdr:from>
    <xdr:to>
      <xdr:col>4</xdr:col>
      <xdr:colOff>57150</xdr:colOff>
      <xdr:row>312</xdr:row>
      <xdr:rowOff>38101</xdr:rowOff>
    </xdr:to>
    <xdr:sp macro="" textlink="">
      <xdr:nvSpPr>
        <xdr:cNvPr id="1064" name="Rectangle 1063">
          <a:extLst>
            <a:ext uri="{FF2B5EF4-FFF2-40B4-BE49-F238E27FC236}">
              <a16:creationId xmlns:a16="http://schemas.microsoft.com/office/drawing/2014/main" id="{5ACF2F79-3F9D-4D71-A850-2D9CACE31986}"/>
            </a:ext>
          </a:extLst>
        </xdr:cNvPr>
        <xdr:cNvSpPr/>
      </xdr:nvSpPr>
      <xdr:spPr>
        <a:xfrm>
          <a:off x="85725" y="524256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314</xdr:row>
      <xdr:rowOff>123825</xdr:rowOff>
    </xdr:from>
    <xdr:to>
      <xdr:col>4</xdr:col>
      <xdr:colOff>76200</xdr:colOff>
      <xdr:row>323</xdr:row>
      <xdr:rowOff>9525</xdr:rowOff>
    </xdr:to>
    <xdr:sp macro="" textlink="">
      <xdr:nvSpPr>
        <xdr:cNvPr id="1065" name="Rectangle 1064">
          <a:extLst>
            <a:ext uri="{FF2B5EF4-FFF2-40B4-BE49-F238E27FC236}">
              <a16:creationId xmlns:a16="http://schemas.microsoft.com/office/drawing/2014/main" id="{0DA530B0-A4B1-4AA5-AB2E-04E1D1792579}"/>
            </a:ext>
          </a:extLst>
        </xdr:cNvPr>
        <xdr:cNvSpPr/>
      </xdr:nvSpPr>
      <xdr:spPr>
        <a:xfrm>
          <a:off x="104775" y="536257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302</xdr:row>
      <xdr:rowOff>38100</xdr:rowOff>
    </xdr:from>
    <xdr:to>
      <xdr:col>8</xdr:col>
      <xdr:colOff>561975</xdr:colOff>
      <xdr:row>304</xdr:row>
      <xdr:rowOff>161925</xdr:rowOff>
    </xdr:to>
    <xdr:sp macro="" textlink="">
      <xdr:nvSpPr>
        <xdr:cNvPr id="1066" name="Rectangle 1065">
          <a:extLst>
            <a:ext uri="{FF2B5EF4-FFF2-40B4-BE49-F238E27FC236}">
              <a16:creationId xmlns:a16="http://schemas.microsoft.com/office/drawing/2014/main" id="{4BAA4598-3B12-4E93-8646-06282E90229F}"/>
            </a:ext>
          </a:extLst>
        </xdr:cNvPr>
        <xdr:cNvSpPr/>
      </xdr:nvSpPr>
      <xdr:spPr>
        <a:xfrm>
          <a:off x="3028950" y="512254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308</xdr:row>
      <xdr:rowOff>76201</xdr:rowOff>
    </xdr:from>
    <xdr:to>
      <xdr:col>8</xdr:col>
      <xdr:colOff>561975</xdr:colOff>
      <xdr:row>312</xdr:row>
      <xdr:rowOff>38101</xdr:rowOff>
    </xdr:to>
    <xdr:sp macro="" textlink="">
      <xdr:nvSpPr>
        <xdr:cNvPr id="1067" name="Rectangle 1066">
          <a:extLst>
            <a:ext uri="{FF2B5EF4-FFF2-40B4-BE49-F238E27FC236}">
              <a16:creationId xmlns:a16="http://schemas.microsoft.com/office/drawing/2014/main" id="{182BF7EC-3E33-4402-93E3-7CD24F827E44}"/>
            </a:ext>
          </a:extLst>
        </xdr:cNvPr>
        <xdr:cNvSpPr/>
      </xdr:nvSpPr>
      <xdr:spPr>
        <a:xfrm>
          <a:off x="3028950" y="524256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314</xdr:row>
      <xdr:rowOff>104775</xdr:rowOff>
    </xdr:from>
    <xdr:to>
      <xdr:col>9</xdr:col>
      <xdr:colOff>333376</xdr:colOff>
      <xdr:row>316</xdr:row>
      <xdr:rowOff>171450</xdr:rowOff>
    </xdr:to>
    <xdr:sp macro="" textlink="">
      <xdr:nvSpPr>
        <xdr:cNvPr id="1068" name="Rectangle 1067">
          <a:extLst>
            <a:ext uri="{FF2B5EF4-FFF2-40B4-BE49-F238E27FC236}">
              <a16:creationId xmlns:a16="http://schemas.microsoft.com/office/drawing/2014/main" id="{84E60260-7EA3-4B49-8F21-CA62B47969BE}"/>
            </a:ext>
          </a:extLst>
        </xdr:cNvPr>
        <xdr:cNvSpPr/>
      </xdr:nvSpPr>
      <xdr:spPr>
        <a:xfrm>
          <a:off x="3019426" y="53606700"/>
          <a:ext cx="2800350"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Mark is a participant, but will be at this one-day event. Kerri attended</a:t>
          </a:r>
          <a:r>
            <a:rPr lang="en-US" sz="1100" b="0" i="0" baseline="0">
              <a:solidFill>
                <a:schemeClr val="lt1"/>
              </a:solidFill>
              <a:effectLst/>
              <a:latin typeface="+mn-lt"/>
              <a:ea typeface="+mn-ea"/>
              <a:cs typeface="+mn-cs"/>
            </a:rPr>
            <a:t> as well</a:t>
          </a:r>
          <a:endParaRPr lang="en-US" sz="1100"/>
        </a:p>
      </xdr:txBody>
    </xdr:sp>
    <xdr:clientData/>
  </xdr:twoCellAnchor>
  <xdr:twoCellAnchor>
    <xdr:from>
      <xdr:col>4</xdr:col>
      <xdr:colOff>581025</xdr:colOff>
      <xdr:row>318</xdr:row>
      <xdr:rowOff>95250</xdr:rowOff>
    </xdr:from>
    <xdr:to>
      <xdr:col>6</xdr:col>
      <xdr:colOff>123824</xdr:colOff>
      <xdr:row>320</xdr:row>
      <xdr:rowOff>47625</xdr:rowOff>
    </xdr:to>
    <xdr:sp macro="" textlink="">
      <xdr:nvSpPr>
        <xdr:cNvPr id="1069" name="Rectangle 1068">
          <a:extLst>
            <a:ext uri="{FF2B5EF4-FFF2-40B4-BE49-F238E27FC236}">
              <a16:creationId xmlns:a16="http://schemas.microsoft.com/office/drawing/2014/main" id="{04DB11B9-E9CC-4E5B-9196-9EDB81625DA9}"/>
            </a:ext>
          </a:extLst>
        </xdr:cNvPr>
        <xdr:cNvSpPr/>
      </xdr:nvSpPr>
      <xdr:spPr>
        <a:xfrm>
          <a:off x="3019425" y="543591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a:p>
          <a:pPr algn="l"/>
          <a:endParaRPr lang="en-US" sz="1100"/>
        </a:p>
      </xdr:txBody>
    </xdr:sp>
    <xdr:clientData/>
  </xdr:twoCellAnchor>
  <xdr:twoCellAnchor>
    <xdr:from>
      <xdr:col>9</xdr:col>
      <xdr:colOff>428625</xdr:colOff>
      <xdr:row>302</xdr:row>
      <xdr:rowOff>19049</xdr:rowOff>
    </xdr:from>
    <xdr:to>
      <xdr:col>13</xdr:col>
      <xdr:colOff>400050</xdr:colOff>
      <xdr:row>338</xdr:row>
      <xdr:rowOff>57150</xdr:rowOff>
    </xdr:to>
    <xdr:sp macro="" textlink="">
      <xdr:nvSpPr>
        <xdr:cNvPr id="1070" name="Rectangle 1069">
          <a:extLst>
            <a:ext uri="{FF2B5EF4-FFF2-40B4-BE49-F238E27FC236}">
              <a16:creationId xmlns:a16="http://schemas.microsoft.com/office/drawing/2014/main" id="{A2C97B4C-8BBD-46E7-90DA-DFF2CBE18CBB}"/>
            </a:ext>
          </a:extLst>
        </xdr:cNvPr>
        <xdr:cNvSpPr/>
      </xdr:nvSpPr>
      <xdr:spPr>
        <a:xfrm>
          <a:off x="5915025" y="59416949"/>
          <a:ext cx="2409825" cy="69246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Opportunity for Mark to attend as a new member; sit on the panel and participate and network</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Healthcare leaders will dive into pressing topics, including staff retention strategies and the critical role of public policy advocacy in strengthening housing options that improve healthcare delivery and drive positive community outcomes. OR Chapter Spring Conference with C and Director Hospital participants; </a:t>
          </a:r>
          <a:r>
            <a:rPr lang="en-US" sz="1100" b="1" i="1">
              <a:solidFill>
                <a:schemeClr val="lt1"/>
              </a:solidFill>
              <a:effectLst/>
              <a:latin typeface="+mn-lt"/>
              <a:ea typeface="+mn-ea"/>
              <a:cs typeface="+mn-cs"/>
            </a:rPr>
            <a:t>Mark has been asked to sit on a panel for discussion about Associate Retention</a:t>
          </a:r>
          <a:r>
            <a:rPr lang="en-US" sz="1100" b="0" i="0">
              <a:solidFill>
                <a:schemeClr val="lt1"/>
              </a:solidFill>
              <a:effectLst/>
              <a:latin typeface="+mn-lt"/>
              <a:ea typeface="+mn-ea"/>
              <a:cs typeface="+mn-cs"/>
            </a:rPr>
            <a:t> (Amie Samuels, member, BETA, requested Mark). </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Session 1: Managing for Morale: Effective Management Techniques to Retain Staff</a:t>
          </a:r>
          <a:br>
            <a:rPr lang="en-US"/>
          </a:br>
          <a:r>
            <a:rPr lang="en-US" sz="1100" b="1" i="0">
              <a:solidFill>
                <a:schemeClr val="lt1"/>
              </a:solidFill>
              <a:effectLst/>
              <a:latin typeface="+mn-lt"/>
              <a:ea typeface="+mn-ea"/>
              <a:cs typeface="+mn-cs"/>
            </a:rPr>
            <a:t>Session 2: Bridging Health and Housing: The Executive Role in Policy Advocacy for Health and Housing Solutions</a:t>
          </a:r>
          <a:br>
            <a:rPr lang="en-US"/>
          </a:br>
          <a:r>
            <a:rPr lang="en-US" sz="1100" b="1" i="0">
              <a:solidFill>
                <a:schemeClr val="lt1"/>
              </a:solidFill>
              <a:effectLst/>
              <a:latin typeface="+mn-lt"/>
              <a:ea typeface="+mn-ea"/>
              <a:cs typeface="+mn-cs"/>
            </a:rPr>
            <a:t>Extend Your Learning: One More Hour to Connect! (Networking)</a:t>
          </a:r>
          <a:br>
            <a:rPr lang="en-US"/>
          </a:br>
          <a:endParaRPr lang="en-US" sz="1100" b="0" i="0">
            <a:solidFill>
              <a:schemeClr val="lt1"/>
            </a:solidFill>
            <a:effectLst/>
            <a:latin typeface="+mn-lt"/>
            <a:ea typeface="+mn-ea"/>
            <a:cs typeface="+mn-cs"/>
          </a:endParaRP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Peace Health Riverbend Annex</a:t>
          </a:r>
          <a:br>
            <a:rPr lang="en-US"/>
          </a:br>
          <a:r>
            <a:rPr lang="en-US" sz="1100" b="0" i="0">
              <a:solidFill>
                <a:schemeClr val="lt1"/>
              </a:solidFill>
              <a:effectLst/>
              <a:latin typeface="+mn-lt"/>
              <a:ea typeface="+mn-ea"/>
              <a:cs typeface="+mn-cs"/>
            </a:rPr>
            <a:t>123 International Way</a:t>
          </a:r>
          <a:br>
            <a:rPr lang="en-US"/>
          </a:br>
          <a:r>
            <a:rPr lang="en-US" sz="1100" b="0" i="0">
              <a:solidFill>
                <a:schemeClr val="lt1"/>
              </a:solidFill>
              <a:effectLst/>
              <a:latin typeface="+mn-lt"/>
              <a:ea typeface="+mn-ea"/>
              <a:cs typeface="+mn-cs"/>
            </a:rPr>
            <a:t>Springfield, OR 97477</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Additional Info: </a:t>
          </a:r>
        </a:p>
        <a:p>
          <a:pPr algn="l"/>
          <a:r>
            <a:rPr lang="en-US" sz="1100" b="1" i="1">
              <a:solidFill>
                <a:schemeClr val="lt1"/>
              </a:solidFill>
              <a:effectLst/>
              <a:latin typeface="+mn-lt"/>
              <a:ea typeface="+mn-ea"/>
              <a:cs typeface="+mn-cs"/>
            </a:rPr>
            <a:t>**Mark is invited to sit on the panel in March -- I would love to attend , but don't know what that looks like. This group has C-suite and Director-level hospital attendees.</a:t>
          </a:r>
          <a:endParaRPr lang="en-US" sz="1100"/>
        </a:p>
      </xdr:txBody>
    </xdr:sp>
    <xdr:clientData/>
  </xdr:twoCellAnchor>
  <xdr:twoCellAnchor>
    <xdr:from>
      <xdr:col>0</xdr:col>
      <xdr:colOff>123825</xdr:colOff>
      <xdr:row>325</xdr:row>
      <xdr:rowOff>85725</xdr:rowOff>
    </xdr:from>
    <xdr:to>
      <xdr:col>4</xdr:col>
      <xdr:colOff>95250</xdr:colOff>
      <xdr:row>338</xdr:row>
      <xdr:rowOff>47625</xdr:rowOff>
    </xdr:to>
    <xdr:sp macro="" textlink="">
      <xdr:nvSpPr>
        <xdr:cNvPr id="1071" name="Rectangle 1070">
          <a:extLst>
            <a:ext uri="{FF2B5EF4-FFF2-40B4-BE49-F238E27FC236}">
              <a16:creationId xmlns:a16="http://schemas.microsoft.com/office/drawing/2014/main" id="{E7F5AECC-8A17-411C-BFA6-DE1B36C358AE}"/>
            </a:ext>
          </a:extLst>
        </xdr:cNvPr>
        <xdr:cNvSpPr/>
      </xdr:nvSpPr>
      <xdr:spPr>
        <a:xfrm>
          <a:off x="123825" y="63827025"/>
          <a:ext cx="2409825" cy="2438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No</a:t>
          </a:r>
          <a:r>
            <a:rPr lang="en-US" baseline="0"/>
            <a:t> cost for Mark as he will be speaking. However, for Kerri to attend it will be: </a:t>
          </a:r>
          <a:endParaRPr lang="en-US"/>
        </a:p>
        <a:p>
          <a:pPr fontAlgn="base"/>
          <a:br>
            <a:rPr lang="en-US"/>
          </a:br>
          <a:r>
            <a:rPr lang="en-US" sz="1100" b="0" i="0">
              <a:solidFill>
                <a:schemeClr val="lt1"/>
              </a:solidFill>
              <a:effectLst/>
              <a:latin typeface="+mn-lt"/>
              <a:ea typeface="+mn-ea"/>
              <a:cs typeface="+mn-cs"/>
            </a:rPr>
            <a:t>$150.00 Member</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$115.00 Earlybird rate before April 11</a:t>
          </a:r>
        </a:p>
        <a:p>
          <a:pPr fontAlgn="base"/>
          <a:r>
            <a:rPr lang="en-US" sz="1100" b="0" i="0">
              <a:solidFill>
                <a:schemeClr val="lt1"/>
              </a:solidFill>
              <a:effectLst/>
              <a:latin typeface="+mn-lt"/>
              <a:ea typeface="+mn-ea"/>
              <a:cs typeface="+mn-cs"/>
            </a:rPr>
            <a:t>$175.00 Guest</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$150.00 Earlybird rate before April 11</a:t>
          </a:r>
        </a:p>
        <a:p>
          <a:endParaRPr lang="en-US" sz="1100"/>
        </a:p>
      </xdr:txBody>
    </xdr:sp>
    <xdr:clientData/>
  </xdr:twoCellAnchor>
  <xdr:twoCellAnchor>
    <xdr:from>
      <xdr:col>5</xdr:col>
      <xdr:colOff>0</xdr:colOff>
      <xdr:row>322</xdr:row>
      <xdr:rowOff>19050</xdr:rowOff>
    </xdr:from>
    <xdr:to>
      <xdr:col>9</xdr:col>
      <xdr:colOff>238125</xdr:colOff>
      <xdr:row>323</xdr:row>
      <xdr:rowOff>171450</xdr:rowOff>
    </xdr:to>
    <xdr:sp macro="" textlink="">
      <xdr:nvSpPr>
        <xdr:cNvPr id="1072" name="Rectangle 1071">
          <a:extLst>
            <a:ext uri="{FF2B5EF4-FFF2-40B4-BE49-F238E27FC236}">
              <a16:creationId xmlns:a16="http://schemas.microsoft.com/office/drawing/2014/main" id="{3D7ED68E-B1AF-46EE-B2B0-5CC89A5D379F}"/>
            </a:ext>
          </a:extLst>
        </xdr:cNvPr>
        <xdr:cNvSpPr/>
      </xdr:nvSpPr>
      <xdr:spPr>
        <a:xfrm>
          <a:off x="3048000" y="63255525"/>
          <a:ext cx="2676525" cy="342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Hospital Leadership</a:t>
          </a:r>
          <a:endParaRPr lang="en-US" sz="1100"/>
        </a:p>
      </xdr:txBody>
    </xdr:sp>
    <xdr:clientData/>
  </xdr:twoCellAnchor>
  <xdr:twoCellAnchor>
    <xdr:from>
      <xdr:col>5</xdr:col>
      <xdr:colOff>28575</xdr:colOff>
      <xdr:row>325</xdr:row>
      <xdr:rowOff>123825</xdr:rowOff>
    </xdr:from>
    <xdr:to>
      <xdr:col>9</xdr:col>
      <xdr:colOff>0</xdr:colOff>
      <xdr:row>327</xdr:row>
      <xdr:rowOff>95250</xdr:rowOff>
    </xdr:to>
    <xdr:sp macro="" textlink="">
      <xdr:nvSpPr>
        <xdr:cNvPr id="1073" name="Rectangle 1072">
          <a:extLst>
            <a:ext uri="{FF2B5EF4-FFF2-40B4-BE49-F238E27FC236}">
              <a16:creationId xmlns:a16="http://schemas.microsoft.com/office/drawing/2014/main" id="{CF398321-7580-4C9C-B418-444713A96341}"/>
            </a:ext>
          </a:extLst>
        </xdr:cNvPr>
        <xdr:cNvSpPr/>
      </xdr:nvSpPr>
      <xdr:spPr>
        <a:xfrm>
          <a:off x="3076575" y="63931800"/>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a:t>
          </a:r>
          <a:endParaRPr lang="en-US" sz="1100"/>
        </a:p>
      </xdr:txBody>
    </xdr:sp>
    <xdr:clientData/>
  </xdr:twoCellAnchor>
  <xdr:twoCellAnchor>
    <xdr:from>
      <xdr:col>5</xdr:col>
      <xdr:colOff>9525</xdr:colOff>
      <xdr:row>329</xdr:row>
      <xdr:rowOff>85725</xdr:rowOff>
    </xdr:from>
    <xdr:to>
      <xdr:col>8</xdr:col>
      <xdr:colOff>590550</xdr:colOff>
      <xdr:row>331</xdr:row>
      <xdr:rowOff>133350</xdr:rowOff>
    </xdr:to>
    <xdr:sp macro="" textlink="">
      <xdr:nvSpPr>
        <xdr:cNvPr id="1074" name="Rectangle 1073">
          <a:hlinkClick xmlns:r="http://schemas.openxmlformats.org/officeDocument/2006/relationships" r:id="rId12"/>
          <a:extLst>
            <a:ext uri="{FF2B5EF4-FFF2-40B4-BE49-F238E27FC236}">
              <a16:creationId xmlns:a16="http://schemas.microsoft.com/office/drawing/2014/main" id="{710125DE-88B9-4053-B410-99EC1AEE2197}"/>
            </a:ext>
          </a:extLst>
        </xdr:cNvPr>
        <xdr:cNvSpPr/>
      </xdr:nvSpPr>
      <xdr:spPr>
        <a:xfrm>
          <a:off x="3057525" y="64655700"/>
          <a:ext cx="2409825" cy="428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OR ACHE - Meeting/Event Information</a:t>
          </a:r>
          <a:endParaRPr lang="en-US" sz="1100">
            <a:solidFill>
              <a:schemeClr val="bg1"/>
            </a:solidFill>
          </a:endParaRPr>
        </a:p>
      </xdr:txBody>
    </xdr:sp>
    <xdr:clientData/>
  </xdr:twoCellAnchor>
  <xdr:twoCellAnchor>
    <xdr:from>
      <xdr:col>0</xdr:col>
      <xdr:colOff>95250</xdr:colOff>
      <xdr:row>342</xdr:row>
      <xdr:rowOff>95250</xdr:rowOff>
    </xdr:from>
    <xdr:to>
      <xdr:col>0</xdr:col>
      <xdr:colOff>438150</xdr:colOff>
      <xdr:row>344</xdr:row>
      <xdr:rowOff>28575</xdr:rowOff>
    </xdr:to>
    <xdr:sp macro="" textlink="">
      <xdr:nvSpPr>
        <xdr:cNvPr id="1076" name="Star: 5 Points 1075">
          <a:extLst>
            <a:ext uri="{FF2B5EF4-FFF2-40B4-BE49-F238E27FC236}">
              <a16:creationId xmlns:a16="http://schemas.microsoft.com/office/drawing/2014/main" id="{C8671A18-1C63-4BCC-B7A8-ED312EC7CF07}"/>
            </a:ext>
          </a:extLst>
        </xdr:cNvPr>
        <xdr:cNvSpPr/>
      </xdr:nvSpPr>
      <xdr:spPr>
        <a:xfrm>
          <a:off x="95250" y="587216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342</xdr:row>
      <xdr:rowOff>114300</xdr:rowOff>
    </xdr:from>
    <xdr:to>
      <xdr:col>1</xdr:col>
      <xdr:colOff>247650</xdr:colOff>
      <xdr:row>344</xdr:row>
      <xdr:rowOff>47625</xdr:rowOff>
    </xdr:to>
    <xdr:sp macro="" textlink="">
      <xdr:nvSpPr>
        <xdr:cNvPr id="1077" name="Star: 5 Points 1076">
          <a:extLst>
            <a:ext uri="{FF2B5EF4-FFF2-40B4-BE49-F238E27FC236}">
              <a16:creationId xmlns:a16="http://schemas.microsoft.com/office/drawing/2014/main" id="{12079F43-11F2-4D30-90BE-ECC452146F00}"/>
            </a:ext>
          </a:extLst>
        </xdr:cNvPr>
        <xdr:cNvSpPr/>
      </xdr:nvSpPr>
      <xdr:spPr>
        <a:xfrm>
          <a:off x="514350" y="587406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342</xdr:row>
      <xdr:rowOff>114300</xdr:rowOff>
    </xdr:from>
    <xdr:to>
      <xdr:col>2</xdr:col>
      <xdr:colOff>76200</xdr:colOff>
      <xdr:row>344</xdr:row>
      <xdr:rowOff>47625</xdr:rowOff>
    </xdr:to>
    <xdr:sp macro="" textlink="">
      <xdr:nvSpPr>
        <xdr:cNvPr id="1078" name="Star: 5 Points 1077">
          <a:extLst>
            <a:ext uri="{FF2B5EF4-FFF2-40B4-BE49-F238E27FC236}">
              <a16:creationId xmlns:a16="http://schemas.microsoft.com/office/drawing/2014/main" id="{24A7CA7B-3D1D-4F9B-B546-5EC3D3265461}"/>
            </a:ext>
          </a:extLst>
        </xdr:cNvPr>
        <xdr:cNvSpPr/>
      </xdr:nvSpPr>
      <xdr:spPr>
        <a:xfrm>
          <a:off x="952500" y="587406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342</xdr:row>
      <xdr:rowOff>114300</xdr:rowOff>
    </xdr:from>
    <xdr:to>
      <xdr:col>2</xdr:col>
      <xdr:colOff>523875</xdr:colOff>
      <xdr:row>344</xdr:row>
      <xdr:rowOff>47625</xdr:rowOff>
    </xdr:to>
    <xdr:sp macro="" textlink="">
      <xdr:nvSpPr>
        <xdr:cNvPr id="1079" name="Star: 5 Points 1078">
          <a:extLst>
            <a:ext uri="{FF2B5EF4-FFF2-40B4-BE49-F238E27FC236}">
              <a16:creationId xmlns:a16="http://schemas.microsoft.com/office/drawing/2014/main" id="{1DE7C472-30D0-438E-BFCE-7160E98A4088}"/>
            </a:ext>
          </a:extLst>
        </xdr:cNvPr>
        <xdr:cNvSpPr/>
      </xdr:nvSpPr>
      <xdr:spPr>
        <a:xfrm>
          <a:off x="1400175" y="587406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342</xdr:row>
      <xdr:rowOff>123825</xdr:rowOff>
    </xdr:from>
    <xdr:to>
      <xdr:col>3</xdr:col>
      <xdr:colOff>342900</xdr:colOff>
      <xdr:row>344</xdr:row>
      <xdr:rowOff>57150</xdr:rowOff>
    </xdr:to>
    <xdr:sp macro="" textlink="">
      <xdr:nvSpPr>
        <xdr:cNvPr id="1080" name="Star: 5 Points 1079">
          <a:extLst>
            <a:ext uri="{FF2B5EF4-FFF2-40B4-BE49-F238E27FC236}">
              <a16:creationId xmlns:a16="http://schemas.microsoft.com/office/drawing/2014/main" id="{9AA5ABD0-31CE-4722-B6EC-CB8193CFD1E2}"/>
            </a:ext>
          </a:extLst>
        </xdr:cNvPr>
        <xdr:cNvSpPr/>
      </xdr:nvSpPr>
      <xdr:spPr>
        <a:xfrm>
          <a:off x="1828800" y="587502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346</xdr:row>
      <xdr:rowOff>57151</xdr:rowOff>
    </xdr:from>
    <xdr:to>
      <xdr:col>4</xdr:col>
      <xdr:colOff>57150</xdr:colOff>
      <xdr:row>350</xdr:row>
      <xdr:rowOff>9526</xdr:rowOff>
    </xdr:to>
    <xdr:sp macro="" textlink="">
      <xdr:nvSpPr>
        <xdr:cNvPr id="1081" name="Rectangle 1080">
          <a:extLst>
            <a:ext uri="{FF2B5EF4-FFF2-40B4-BE49-F238E27FC236}">
              <a16:creationId xmlns:a16="http://schemas.microsoft.com/office/drawing/2014/main" id="{0B3C34C6-EDD6-42AB-AD99-7E11963BE2F8}"/>
            </a:ext>
          </a:extLst>
        </xdr:cNvPr>
        <xdr:cNvSpPr/>
      </xdr:nvSpPr>
      <xdr:spPr>
        <a:xfrm>
          <a:off x="85725" y="594550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352</xdr:row>
      <xdr:rowOff>76201</xdr:rowOff>
    </xdr:from>
    <xdr:to>
      <xdr:col>4</xdr:col>
      <xdr:colOff>57150</xdr:colOff>
      <xdr:row>356</xdr:row>
      <xdr:rowOff>38101</xdr:rowOff>
    </xdr:to>
    <xdr:sp macro="" textlink="">
      <xdr:nvSpPr>
        <xdr:cNvPr id="1082" name="Rectangle 1081">
          <a:extLst>
            <a:ext uri="{FF2B5EF4-FFF2-40B4-BE49-F238E27FC236}">
              <a16:creationId xmlns:a16="http://schemas.microsoft.com/office/drawing/2014/main" id="{44F126F6-4E73-42F4-B674-D35ECCECEBBB}"/>
            </a:ext>
          </a:extLst>
        </xdr:cNvPr>
        <xdr:cNvSpPr/>
      </xdr:nvSpPr>
      <xdr:spPr>
        <a:xfrm>
          <a:off x="85725" y="606361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358</xdr:row>
      <xdr:rowOff>123825</xdr:rowOff>
    </xdr:from>
    <xdr:to>
      <xdr:col>4</xdr:col>
      <xdr:colOff>76200</xdr:colOff>
      <xdr:row>367</xdr:row>
      <xdr:rowOff>9525</xdr:rowOff>
    </xdr:to>
    <xdr:sp macro="" textlink="">
      <xdr:nvSpPr>
        <xdr:cNvPr id="1083" name="Rectangle 1082">
          <a:extLst>
            <a:ext uri="{FF2B5EF4-FFF2-40B4-BE49-F238E27FC236}">
              <a16:creationId xmlns:a16="http://schemas.microsoft.com/office/drawing/2014/main" id="{25959585-FFCC-43E5-88CB-B544EB19BA79}"/>
            </a:ext>
          </a:extLst>
        </xdr:cNvPr>
        <xdr:cNvSpPr/>
      </xdr:nvSpPr>
      <xdr:spPr>
        <a:xfrm>
          <a:off x="104775" y="6183630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346</xdr:row>
      <xdr:rowOff>38100</xdr:rowOff>
    </xdr:from>
    <xdr:to>
      <xdr:col>8</xdr:col>
      <xdr:colOff>561975</xdr:colOff>
      <xdr:row>348</xdr:row>
      <xdr:rowOff>161925</xdr:rowOff>
    </xdr:to>
    <xdr:sp macro="" textlink="">
      <xdr:nvSpPr>
        <xdr:cNvPr id="1084" name="Rectangle 1083">
          <a:extLst>
            <a:ext uri="{FF2B5EF4-FFF2-40B4-BE49-F238E27FC236}">
              <a16:creationId xmlns:a16="http://schemas.microsoft.com/office/drawing/2014/main" id="{555D5AAC-E18F-4393-90CB-FADDFA4D5CFE}"/>
            </a:ext>
          </a:extLst>
        </xdr:cNvPr>
        <xdr:cNvSpPr/>
      </xdr:nvSpPr>
      <xdr:spPr>
        <a:xfrm>
          <a:off x="3028950" y="5943600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352</xdr:row>
      <xdr:rowOff>76201</xdr:rowOff>
    </xdr:from>
    <xdr:to>
      <xdr:col>8</xdr:col>
      <xdr:colOff>561975</xdr:colOff>
      <xdr:row>356</xdr:row>
      <xdr:rowOff>38101</xdr:rowOff>
    </xdr:to>
    <xdr:sp macro="" textlink="">
      <xdr:nvSpPr>
        <xdr:cNvPr id="1085" name="Rectangle 1084">
          <a:extLst>
            <a:ext uri="{FF2B5EF4-FFF2-40B4-BE49-F238E27FC236}">
              <a16:creationId xmlns:a16="http://schemas.microsoft.com/office/drawing/2014/main" id="{47270C5E-D330-4CB0-9250-B233BE33DF45}"/>
            </a:ext>
          </a:extLst>
        </xdr:cNvPr>
        <xdr:cNvSpPr/>
      </xdr:nvSpPr>
      <xdr:spPr>
        <a:xfrm>
          <a:off x="3028950" y="606361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358</xdr:row>
      <xdr:rowOff>104775</xdr:rowOff>
    </xdr:from>
    <xdr:to>
      <xdr:col>9</xdr:col>
      <xdr:colOff>295275</xdr:colOff>
      <xdr:row>362</xdr:row>
      <xdr:rowOff>152400</xdr:rowOff>
    </xdr:to>
    <xdr:sp macro="" textlink="">
      <xdr:nvSpPr>
        <xdr:cNvPr id="1086" name="Rectangle 1085">
          <a:extLst>
            <a:ext uri="{FF2B5EF4-FFF2-40B4-BE49-F238E27FC236}">
              <a16:creationId xmlns:a16="http://schemas.microsoft.com/office/drawing/2014/main" id="{17524D04-5722-4CBA-AFDB-4766B6B9355C}"/>
            </a:ext>
          </a:extLst>
        </xdr:cNvPr>
        <xdr:cNvSpPr/>
      </xdr:nvSpPr>
      <xdr:spPr>
        <a:xfrm>
          <a:off x="3019426" y="70408800"/>
          <a:ext cx="2762249" cy="809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Mark and I attended last year and "exhibited". I believe sponsoring and sitting at the table with leaders would bring more value - very few people approached our exhibit.</a:t>
          </a:r>
          <a:endParaRPr lang="en-US" sz="1100"/>
        </a:p>
      </xdr:txBody>
    </xdr:sp>
    <xdr:clientData/>
  </xdr:twoCellAnchor>
  <xdr:twoCellAnchor>
    <xdr:from>
      <xdr:col>4</xdr:col>
      <xdr:colOff>581025</xdr:colOff>
      <xdr:row>364</xdr:row>
      <xdr:rowOff>95250</xdr:rowOff>
    </xdr:from>
    <xdr:to>
      <xdr:col>6</xdr:col>
      <xdr:colOff>123824</xdr:colOff>
      <xdr:row>366</xdr:row>
      <xdr:rowOff>47625</xdr:rowOff>
    </xdr:to>
    <xdr:sp macro="" textlink="">
      <xdr:nvSpPr>
        <xdr:cNvPr id="1087" name="Rectangle 1086">
          <a:extLst>
            <a:ext uri="{FF2B5EF4-FFF2-40B4-BE49-F238E27FC236}">
              <a16:creationId xmlns:a16="http://schemas.microsoft.com/office/drawing/2014/main" id="{E8607619-941C-47A5-964F-B12AC2473D86}"/>
            </a:ext>
          </a:extLst>
        </xdr:cNvPr>
        <xdr:cNvSpPr/>
      </xdr:nvSpPr>
      <xdr:spPr>
        <a:xfrm>
          <a:off x="3019425" y="6256972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100+</a:t>
          </a:r>
        </a:p>
        <a:p>
          <a:pPr algn="l"/>
          <a:endParaRPr lang="en-US" sz="1100"/>
        </a:p>
      </xdr:txBody>
    </xdr:sp>
    <xdr:clientData/>
  </xdr:twoCellAnchor>
  <xdr:twoCellAnchor>
    <xdr:from>
      <xdr:col>9</xdr:col>
      <xdr:colOff>428625</xdr:colOff>
      <xdr:row>346</xdr:row>
      <xdr:rowOff>19049</xdr:rowOff>
    </xdr:from>
    <xdr:to>
      <xdr:col>13</xdr:col>
      <xdr:colOff>400050</xdr:colOff>
      <xdr:row>382</xdr:row>
      <xdr:rowOff>57150</xdr:rowOff>
    </xdr:to>
    <xdr:sp macro="" textlink="">
      <xdr:nvSpPr>
        <xdr:cNvPr id="1088" name="Rectangle 1087">
          <a:extLst>
            <a:ext uri="{FF2B5EF4-FFF2-40B4-BE49-F238E27FC236}">
              <a16:creationId xmlns:a16="http://schemas.microsoft.com/office/drawing/2014/main" id="{4254C68A-F29B-4808-AD36-014098AFCB95}"/>
            </a:ext>
          </a:extLst>
        </xdr:cNvPr>
        <xdr:cNvSpPr/>
      </xdr:nvSpPr>
      <xdr:spPr>
        <a:xfrm>
          <a:off x="5915025" y="59416949"/>
          <a:ext cx="2409825" cy="69246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Hear 1st hand the pains that the OR Hospitals are experiencing; network with C-level and other industry provider leaders to gain access</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C-Level participants gather to discuss state and federal policies impacting the industry. </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Sunriver Resort</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Additional Info: </a:t>
          </a:r>
        </a:p>
        <a:p>
          <a:pPr algn="l"/>
          <a:r>
            <a:rPr lang="en-US" sz="1100" b="1" i="1">
              <a:solidFill>
                <a:schemeClr val="lt1"/>
              </a:solidFill>
              <a:effectLst/>
              <a:latin typeface="+mn-lt"/>
              <a:ea typeface="+mn-ea"/>
              <a:cs typeface="+mn-cs"/>
            </a:rPr>
            <a:t>Mark and Kerri will be attending</a:t>
          </a:r>
        </a:p>
        <a:p>
          <a:pPr algn="l"/>
          <a:endParaRPr lang="en-US" sz="1100" b="1" i="1">
            <a:solidFill>
              <a:schemeClr val="lt1"/>
            </a:solidFill>
            <a:effectLst/>
            <a:latin typeface="+mn-lt"/>
            <a:ea typeface="+mn-ea"/>
            <a:cs typeface="+mn-cs"/>
          </a:endParaRPr>
        </a:p>
        <a:p>
          <a:pPr algn="l"/>
          <a:r>
            <a:rPr lang="en-US" sz="1100" b="0" i="0">
              <a:solidFill>
                <a:schemeClr val="lt1"/>
              </a:solidFill>
              <a:effectLst/>
              <a:latin typeface="+mn-lt"/>
              <a:ea typeface="+mn-ea"/>
              <a:cs typeface="+mn-cs"/>
            </a:rPr>
            <a:t>We made a couple of good industry contacts here and hospital (1) as well</a:t>
          </a:r>
          <a:endParaRPr lang="en-US" sz="1100"/>
        </a:p>
      </xdr:txBody>
    </xdr:sp>
    <xdr:clientData/>
  </xdr:twoCellAnchor>
  <xdr:twoCellAnchor>
    <xdr:from>
      <xdr:col>0</xdr:col>
      <xdr:colOff>123825</xdr:colOff>
      <xdr:row>369</xdr:row>
      <xdr:rowOff>85725</xdr:rowOff>
    </xdr:from>
    <xdr:to>
      <xdr:col>4</xdr:col>
      <xdr:colOff>104775</xdr:colOff>
      <xdr:row>379</xdr:row>
      <xdr:rowOff>180975</xdr:rowOff>
    </xdr:to>
    <xdr:sp macro="" textlink="">
      <xdr:nvSpPr>
        <xdr:cNvPr id="1089" name="Rectangle 1088">
          <a:extLst>
            <a:ext uri="{FF2B5EF4-FFF2-40B4-BE49-F238E27FC236}">
              <a16:creationId xmlns:a16="http://schemas.microsoft.com/office/drawing/2014/main" id="{E99B2979-B9F8-4D82-A468-0A46B3581AA7}"/>
            </a:ext>
          </a:extLst>
        </xdr:cNvPr>
        <xdr:cNvSpPr/>
      </xdr:nvSpPr>
      <xdr:spPr>
        <a:xfrm>
          <a:off x="123825" y="72485250"/>
          <a:ext cx="2419350" cy="2000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Unknown; will need to call to determine sponsorship and then travel costs</a:t>
          </a:r>
        </a:p>
        <a:p>
          <a:endParaRPr lang="en-US" sz="1100" b="0" i="0">
            <a:solidFill>
              <a:schemeClr val="lt1"/>
            </a:solidFill>
            <a:effectLst/>
            <a:latin typeface="+mn-lt"/>
            <a:ea typeface="+mn-ea"/>
            <a:cs typeface="+mn-cs"/>
          </a:endParaRPr>
        </a:p>
        <a:p>
          <a:r>
            <a:rPr lang="en-US" sz="1100" b="0" i="0">
              <a:solidFill>
                <a:schemeClr val="lt1"/>
              </a:solidFill>
              <a:effectLst/>
              <a:latin typeface="+mn-lt"/>
              <a:ea typeface="+mn-ea"/>
              <a:cs typeface="+mn-cs"/>
            </a:rPr>
            <a:t>Our room block fills up fast, so we encourage you to book your room now. To reserve call 855-420-8206 and </a:t>
          </a:r>
          <a:r>
            <a:rPr lang="en-US" sz="1100" b="0" i="0">
              <a:solidFill>
                <a:schemeClr val="bg1"/>
              </a:solidFill>
              <a:effectLst/>
              <a:latin typeface="+mn-lt"/>
              <a:ea typeface="+mn-ea"/>
              <a:cs typeface="+mn-cs"/>
            </a:rPr>
            <a:t>mention you are with the Hospital Association of Oregon group or reserve online </a:t>
          </a:r>
          <a:r>
            <a:rPr lang="en-US"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here</a:t>
          </a:r>
          <a:r>
            <a:rPr lang="en-US" sz="1100" b="0" i="0">
              <a:solidFill>
                <a:schemeClr val="bg1"/>
              </a:solidFill>
              <a:effectLst/>
              <a:latin typeface="+mn-lt"/>
              <a:ea typeface="+mn-ea"/>
              <a:cs typeface="+mn-cs"/>
            </a:rPr>
            <a:t>. </a:t>
          </a:r>
          <a:r>
            <a:rPr lang="en-US" sz="1100" b="1" i="0">
              <a:solidFill>
                <a:schemeClr val="bg1"/>
              </a:solidFill>
              <a:effectLst/>
              <a:latin typeface="+mn-lt"/>
              <a:ea typeface="+mn-ea"/>
              <a:cs typeface="+mn-cs"/>
            </a:rPr>
            <a:t>Reservation deadline is Aug. 31. </a:t>
          </a:r>
          <a:endParaRPr lang="en-US" sz="1100" b="0" i="0">
            <a:solidFill>
              <a:schemeClr val="bg1"/>
            </a:solidFill>
            <a:effectLst/>
            <a:latin typeface="+mn-lt"/>
            <a:ea typeface="+mn-ea"/>
            <a:cs typeface="+mn-cs"/>
          </a:endParaRPr>
        </a:p>
        <a:p>
          <a:br>
            <a:rPr lang="en-US"/>
          </a:br>
          <a:endParaRPr lang="en-US" sz="1100"/>
        </a:p>
      </xdr:txBody>
    </xdr:sp>
    <xdr:clientData/>
  </xdr:twoCellAnchor>
  <xdr:twoCellAnchor>
    <xdr:from>
      <xdr:col>5</xdr:col>
      <xdr:colOff>0</xdr:colOff>
      <xdr:row>368</xdr:row>
      <xdr:rowOff>19050</xdr:rowOff>
    </xdr:from>
    <xdr:to>
      <xdr:col>9</xdr:col>
      <xdr:colOff>238125</xdr:colOff>
      <xdr:row>369</xdr:row>
      <xdr:rowOff>171450</xdr:rowOff>
    </xdr:to>
    <xdr:sp macro="" textlink="">
      <xdr:nvSpPr>
        <xdr:cNvPr id="1090" name="Rectangle 1089">
          <a:extLst>
            <a:ext uri="{FF2B5EF4-FFF2-40B4-BE49-F238E27FC236}">
              <a16:creationId xmlns:a16="http://schemas.microsoft.com/office/drawing/2014/main" id="{E61E591B-ECD4-434C-8A81-25A65756FF4A}"/>
            </a:ext>
          </a:extLst>
        </xdr:cNvPr>
        <xdr:cNvSpPr/>
      </xdr:nvSpPr>
      <xdr:spPr>
        <a:xfrm>
          <a:off x="3048000" y="63255525"/>
          <a:ext cx="2676525" cy="342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C-Level Hospital execs</a:t>
          </a:r>
          <a:endParaRPr lang="en-US" sz="1100"/>
        </a:p>
      </xdr:txBody>
    </xdr:sp>
    <xdr:clientData/>
  </xdr:twoCellAnchor>
  <xdr:twoCellAnchor>
    <xdr:from>
      <xdr:col>5</xdr:col>
      <xdr:colOff>28575</xdr:colOff>
      <xdr:row>371</xdr:row>
      <xdr:rowOff>123825</xdr:rowOff>
    </xdr:from>
    <xdr:to>
      <xdr:col>9</xdr:col>
      <xdr:colOff>0</xdr:colOff>
      <xdr:row>373</xdr:row>
      <xdr:rowOff>95250</xdr:rowOff>
    </xdr:to>
    <xdr:sp macro="" textlink="">
      <xdr:nvSpPr>
        <xdr:cNvPr id="1091" name="Rectangle 1090">
          <a:extLst>
            <a:ext uri="{FF2B5EF4-FFF2-40B4-BE49-F238E27FC236}">
              <a16:creationId xmlns:a16="http://schemas.microsoft.com/office/drawing/2014/main" id="{4FD886D5-46B6-40EE-B935-6DE0E90086FB}"/>
            </a:ext>
          </a:extLst>
        </xdr:cNvPr>
        <xdr:cNvSpPr/>
      </xdr:nvSpPr>
      <xdr:spPr>
        <a:xfrm>
          <a:off x="3076575" y="63931800"/>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(Possibly Aleca)</a:t>
          </a:r>
          <a:endParaRPr lang="en-US" sz="1100"/>
        </a:p>
      </xdr:txBody>
    </xdr:sp>
    <xdr:clientData/>
  </xdr:twoCellAnchor>
  <xdr:twoCellAnchor>
    <xdr:from>
      <xdr:col>5</xdr:col>
      <xdr:colOff>9525</xdr:colOff>
      <xdr:row>375</xdr:row>
      <xdr:rowOff>85725</xdr:rowOff>
    </xdr:from>
    <xdr:to>
      <xdr:col>8</xdr:col>
      <xdr:colOff>571500</xdr:colOff>
      <xdr:row>378</xdr:row>
      <xdr:rowOff>180975</xdr:rowOff>
    </xdr:to>
    <xdr:sp macro="" textlink="">
      <xdr:nvSpPr>
        <xdr:cNvPr id="1092" name="Rectangle 1091">
          <a:hlinkClick xmlns:r="http://schemas.openxmlformats.org/officeDocument/2006/relationships" r:id="rId13"/>
          <a:extLst>
            <a:ext uri="{FF2B5EF4-FFF2-40B4-BE49-F238E27FC236}">
              <a16:creationId xmlns:a16="http://schemas.microsoft.com/office/drawing/2014/main" id="{6DE392F4-2841-4CA6-9653-AE4B9F6B761A}"/>
            </a:ext>
          </a:extLst>
        </xdr:cNvPr>
        <xdr:cNvSpPr/>
      </xdr:nvSpPr>
      <xdr:spPr>
        <a:xfrm>
          <a:off x="3057525" y="73247250"/>
          <a:ext cx="2390775" cy="666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SAVE THE DATE! 2025 Annual Member Meeting | Hospital Association of Oregon</a:t>
          </a:r>
          <a:endParaRPr lang="en-US" sz="1100">
            <a:solidFill>
              <a:schemeClr val="bg1"/>
            </a:solidFill>
          </a:endParaRPr>
        </a:p>
      </xdr:txBody>
    </xdr:sp>
    <xdr:clientData/>
  </xdr:twoCellAnchor>
  <xdr:twoCellAnchor>
    <xdr:from>
      <xdr:col>10</xdr:col>
      <xdr:colOff>57150</xdr:colOff>
      <xdr:row>341</xdr:row>
      <xdr:rowOff>19050</xdr:rowOff>
    </xdr:from>
    <xdr:to>
      <xdr:col>13</xdr:col>
      <xdr:colOff>552450</xdr:colOff>
      <xdr:row>344</xdr:row>
      <xdr:rowOff>114299</xdr:rowOff>
    </xdr:to>
    <xdr:sp macro="" textlink="">
      <xdr:nvSpPr>
        <xdr:cNvPr id="1093" name="Rectangle 1092">
          <a:extLst>
            <a:ext uri="{FF2B5EF4-FFF2-40B4-BE49-F238E27FC236}">
              <a16:creationId xmlns:a16="http://schemas.microsoft.com/office/drawing/2014/main" id="{0451C1C5-6C89-46DF-B78B-C784DDBEDE0D}"/>
            </a:ext>
          </a:extLst>
        </xdr:cNvPr>
        <xdr:cNvSpPr/>
      </xdr:nvSpPr>
      <xdr:spPr>
        <a:xfrm>
          <a:off x="6153150" y="58445400"/>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Pending Approval...</a:t>
          </a:r>
        </a:p>
      </xdr:txBody>
    </xdr:sp>
    <xdr:clientData/>
  </xdr:twoCellAnchor>
  <xdr:twoCellAnchor>
    <xdr:from>
      <xdr:col>0</xdr:col>
      <xdr:colOff>95250</xdr:colOff>
      <xdr:row>386</xdr:row>
      <xdr:rowOff>95250</xdr:rowOff>
    </xdr:from>
    <xdr:to>
      <xdr:col>0</xdr:col>
      <xdr:colOff>438150</xdr:colOff>
      <xdr:row>388</xdr:row>
      <xdr:rowOff>28575</xdr:rowOff>
    </xdr:to>
    <xdr:sp macro="" textlink="">
      <xdr:nvSpPr>
        <xdr:cNvPr id="1094" name="Star: 5 Points 1093">
          <a:extLst>
            <a:ext uri="{FF2B5EF4-FFF2-40B4-BE49-F238E27FC236}">
              <a16:creationId xmlns:a16="http://schemas.microsoft.com/office/drawing/2014/main" id="{8FF8D076-6B71-42AC-86B1-996833E8CB56}"/>
            </a:ext>
          </a:extLst>
        </xdr:cNvPr>
        <xdr:cNvSpPr/>
      </xdr:nvSpPr>
      <xdr:spPr>
        <a:xfrm>
          <a:off x="95250" y="673131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386</xdr:row>
      <xdr:rowOff>114300</xdr:rowOff>
    </xdr:from>
    <xdr:to>
      <xdr:col>1</xdr:col>
      <xdr:colOff>247650</xdr:colOff>
      <xdr:row>388</xdr:row>
      <xdr:rowOff>47625</xdr:rowOff>
    </xdr:to>
    <xdr:sp macro="" textlink="">
      <xdr:nvSpPr>
        <xdr:cNvPr id="1095" name="Star: 5 Points 1094">
          <a:extLst>
            <a:ext uri="{FF2B5EF4-FFF2-40B4-BE49-F238E27FC236}">
              <a16:creationId xmlns:a16="http://schemas.microsoft.com/office/drawing/2014/main" id="{6AD6EAE7-456B-4259-8F5F-6551650B8A15}"/>
            </a:ext>
          </a:extLst>
        </xdr:cNvPr>
        <xdr:cNvSpPr/>
      </xdr:nvSpPr>
      <xdr:spPr>
        <a:xfrm>
          <a:off x="514350" y="673322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386</xdr:row>
      <xdr:rowOff>114300</xdr:rowOff>
    </xdr:from>
    <xdr:to>
      <xdr:col>2</xdr:col>
      <xdr:colOff>76200</xdr:colOff>
      <xdr:row>388</xdr:row>
      <xdr:rowOff>47625</xdr:rowOff>
    </xdr:to>
    <xdr:sp macro="" textlink="">
      <xdr:nvSpPr>
        <xdr:cNvPr id="1096" name="Star: 5 Points 1095">
          <a:extLst>
            <a:ext uri="{FF2B5EF4-FFF2-40B4-BE49-F238E27FC236}">
              <a16:creationId xmlns:a16="http://schemas.microsoft.com/office/drawing/2014/main" id="{3DEA845B-EC30-475D-B126-16AD225F577E}"/>
            </a:ext>
          </a:extLst>
        </xdr:cNvPr>
        <xdr:cNvSpPr/>
      </xdr:nvSpPr>
      <xdr:spPr>
        <a:xfrm>
          <a:off x="952500" y="673322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386</xdr:row>
      <xdr:rowOff>114300</xdr:rowOff>
    </xdr:from>
    <xdr:to>
      <xdr:col>2</xdr:col>
      <xdr:colOff>523875</xdr:colOff>
      <xdr:row>388</xdr:row>
      <xdr:rowOff>47625</xdr:rowOff>
    </xdr:to>
    <xdr:sp macro="" textlink="">
      <xdr:nvSpPr>
        <xdr:cNvPr id="1097" name="Star: 5 Points 1096">
          <a:extLst>
            <a:ext uri="{FF2B5EF4-FFF2-40B4-BE49-F238E27FC236}">
              <a16:creationId xmlns:a16="http://schemas.microsoft.com/office/drawing/2014/main" id="{E8350002-2489-40A4-8527-CDE26D09A7FF}"/>
            </a:ext>
          </a:extLst>
        </xdr:cNvPr>
        <xdr:cNvSpPr/>
      </xdr:nvSpPr>
      <xdr:spPr>
        <a:xfrm>
          <a:off x="1400175" y="673322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386</xdr:row>
      <xdr:rowOff>123825</xdr:rowOff>
    </xdr:from>
    <xdr:to>
      <xdr:col>3</xdr:col>
      <xdr:colOff>342900</xdr:colOff>
      <xdr:row>388</xdr:row>
      <xdr:rowOff>57150</xdr:rowOff>
    </xdr:to>
    <xdr:sp macro="" textlink="">
      <xdr:nvSpPr>
        <xdr:cNvPr id="1098" name="Star: 5 Points 1097">
          <a:extLst>
            <a:ext uri="{FF2B5EF4-FFF2-40B4-BE49-F238E27FC236}">
              <a16:creationId xmlns:a16="http://schemas.microsoft.com/office/drawing/2014/main" id="{CCE36040-7929-4D1A-A618-3AFEF172D0EF}"/>
            </a:ext>
          </a:extLst>
        </xdr:cNvPr>
        <xdr:cNvSpPr/>
      </xdr:nvSpPr>
      <xdr:spPr>
        <a:xfrm>
          <a:off x="1828800" y="673417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390</xdr:row>
      <xdr:rowOff>57151</xdr:rowOff>
    </xdr:from>
    <xdr:to>
      <xdr:col>4</xdr:col>
      <xdr:colOff>57150</xdr:colOff>
      <xdr:row>394</xdr:row>
      <xdr:rowOff>9526</xdr:rowOff>
    </xdr:to>
    <xdr:sp macro="" textlink="">
      <xdr:nvSpPr>
        <xdr:cNvPr id="1099" name="Rectangle 1098">
          <a:extLst>
            <a:ext uri="{FF2B5EF4-FFF2-40B4-BE49-F238E27FC236}">
              <a16:creationId xmlns:a16="http://schemas.microsoft.com/office/drawing/2014/main" id="{FE0C2E97-DE06-4829-B952-D81044566D54}"/>
            </a:ext>
          </a:extLst>
        </xdr:cNvPr>
        <xdr:cNvSpPr/>
      </xdr:nvSpPr>
      <xdr:spPr>
        <a:xfrm>
          <a:off x="85725" y="680466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396</xdr:row>
      <xdr:rowOff>76201</xdr:rowOff>
    </xdr:from>
    <xdr:to>
      <xdr:col>4</xdr:col>
      <xdr:colOff>57150</xdr:colOff>
      <xdr:row>400</xdr:row>
      <xdr:rowOff>38101</xdr:rowOff>
    </xdr:to>
    <xdr:sp macro="" textlink="">
      <xdr:nvSpPr>
        <xdr:cNvPr id="1100" name="Rectangle 1099">
          <a:extLst>
            <a:ext uri="{FF2B5EF4-FFF2-40B4-BE49-F238E27FC236}">
              <a16:creationId xmlns:a16="http://schemas.microsoft.com/office/drawing/2014/main" id="{642526C3-829A-4FDD-965F-56A61E85F09C}"/>
            </a:ext>
          </a:extLst>
        </xdr:cNvPr>
        <xdr:cNvSpPr/>
      </xdr:nvSpPr>
      <xdr:spPr>
        <a:xfrm>
          <a:off x="85725" y="692277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402</xdr:row>
      <xdr:rowOff>123825</xdr:rowOff>
    </xdr:from>
    <xdr:to>
      <xdr:col>4</xdr:col>
      <xdr:colOff>76200</xdr:colOff>
      <xdr:row>411</xdr:row>
      <xdr:rowOff>9525</xdr:rowOff>
    </xdr:to>
    <xdr:sp macro="" textlink="">
      <xdr:nvSpPr>
        <xdr:cNvPr id="1101" name="Rectangle 1100">
          <a:extLst>
            <a:ext uri="{FF2B5EF4-FFF2-40B4-BE49-F238E27FC236}">
              <a16:creationId xmlns:a16="http://schemas.microsoft.com/office/drawing/2014/main" id="{FAB99F4E-99EB-4A33-990A-212993C8BC8E}"/>
            </a:ext>
          </a:extLst>
        </xdr:cNvPr>
        <xdr:cNvSpPr/>
      </xdr:nvSpPr>
      <xdr:spPr>
        <a:xfrm>
          <a:off x="104775" y="704278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390</xdr:row>
      <xdr:rowOff>38100</xdr:rowOff>
    </xdr:from>
    <xdr:to>
      <xdr:col>8</xdr:col>
      <xdr:colOff>561975</xdr:colOff>
      <xdr:row>392</xdr:row>
      <xdr:rowOff>161925</xdr:rowOff>
    </xdr:to>
    <xdr:sp macro="" textlink="">
      <xdr:nvSpPr>
        <xdr:cNvPr id="1102" name="Rectangle 1101">
          <a:extLst>
            <a:ext uri="{FF2B5EF4-FFF2-40B4-BE49-F238E27FC236}">
              <a16:creationId xmlns:a16="http://schemas.microsoft.com/office/drawing/2014/main" id="{3CA0A005-EAF6-4934-B89F-AD1AEF653ACC}"/>
            </a:ext>
          </a:extLst>
        </xdr:cNvPr>
        <xdr:cNvSpPr/>
      </xdr:nvSpPr>
      <xdr:spPr>
        <a:xfrm>
          <a:off x="3028950" y="680275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396</xdr:row>
      <xdr:rowOff>76201</xdr:rowOff>
    </xdr:from>
    <xdr:to>
      <xdr:col>8</xdr:col>
      <xdr:colOff>561975</xdr:colOff>
      <xdr:row>400</xdr:row>
      <xdr:rowOff>38101</xdr:rowOff>
    </xdr:to>
    <xdr:sp macro="" textlink="">
      <xdr:nvSpPr>
        <xdr:cNvPr id="1103" name="Rectangle 1102">
          <a:extLst>
            <a:ext uri="{FF2B5EF4-FFF2-40B4-BE49-F238E27FC236}">
              <a16:creationId xmlns:a16="http://schemas.microsoft.com/office/drawing/2014/main" id="{765A0233-618C-4C13-9CF0-FF893C86C742}"/>
            </a:ext>
          </a:extLst>
        </xdr:cNvPr>
        <xdr:cNvSpPr/>
      </xdr:nvSpPr>
      <xdr:spPr>
        <a:xfrm>
          <a:off x="3028950" y="692277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402</xdr:row>
      <xdr:rowOff>104775</xdr:rowOff>
    </xdr:from>
    <xdr:to>
      <xdr:col>9</xdr:col>
      <xdr:colOff>295275</xdr:colOff>
      <xdr:row>406</xdr:row>
      <xdr:rowOff>152400</xdr:rowOff>
    </xdr:to>
    <xdr:sp macro="" textlink="">
      <xdr:nvSpPr>
        <xdr:cNvPr id="1104" name="Rectangle 1103">
          <a:extLst>
            <a:ext uri="{FF2B5EF4-FFF2-40B4-BE49-F238E27FC236}">
              <a16:creationId xmlns:a16="http://schemas.microsoft.com/office/drawing/2014/main" id="{307B94E8-B267-452B-86EF-C171D577DFA6}"/>
            </a:ext>
          </a:extLst>
        </xdr:cNvPr>
        <xdr:cNvSpPr/>
      </xdr:nvSpPr>
      <xdr:spPr>
        <a:xfrm>
          <a:off x="3019426" y="70408800"/>
          <a:ext cx="2762249" cy="809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Uncertain (Kerri submitted but did not specify event lead)</a:t>
          </a:r>
          <a:endParaRPr lang="en-US" sz="1100"/>
        </a:p>
      </xdr:txBody>
    </xdr:sp>
    <xdr:clientData/>
  </xdr:twoCellAnchor>
  <xdr:twoCellAnchor>
    <xdr:from>
      <xdr:col>4</xdr:col>
      <xdr:colOff>581025</xdr:colOff>
      <xdr:row>408</xdr:row>
      <xdr:rowOff>95250</xdr:rowOff>
    </xdr:from>
    <xdr:to>
      <xdr:col>6</xdr:col>
      <xdr:colOff>123824</xdr:colOff>
      <xdr:row>410</xdr:row>
      <xdr:rowOff>47625</xdr:rowOff>
    </xdr:to>
    <xdr:sp macro="" textlink="">
      <xdr:nvSpPr>
        <xdr:cNvPr id="1105" name="Rectangle 1104">
          <a:extLst>
            <a:ext uri="{FF2B5EF4-FFF2-40B4-BE49-F238E27FC236}">
              <a16:creationId xmlns:a16="http://schemas.microsoft.com/office/drawing/2014/main" id="{930B7374-8B30-4052-90E8-066A109078F1}"/>
            </a:ext>
          </a:extLst>
        </xdr:cNvPr>
        <xdr:cNvSpPr/>
      </xdr:nvSpPr>
      <xdr:spPr>
        <a:xfrm>
          <a:off x="3019425" y="715422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150</a:t>
          </a:r>
        </a:p>
        <a:p>
          <a:pPr algn="l"/>
          <a:endParaRPr lang="en-US" sz="1100"/>
        </a:p>
      </xdr:txBody>
    </xdr:sp>
    <xdr:clientData/>
  </xdr:twoCellAnchor>
  <xdr:twoCellAnchor>
    <xdr:from>
      <xdr:col>9</xdr:col>
      <xdr:colOff>457200</xdr:colOff>
      <xdr:row>390</xdr:row>
      <xdr:rowOff>9524</xdr:rowOff>
    </xdr:from>
    <xdr:to>
      <xdr:col>13</xdr:col>
      <xdr:colOff>428625</xdr:colOff>
      <xdr:row>426</xdr:row>
      <xdr:rowOff>47625</xdr:rowOff>
    </xdr:to>
    <xdr:sp macro="" textlink="">
      <xdr:nvSpPr>
        <xdr:cNvPr id="1106" name="Rectangle 1105">
          <a:extLst>
            <a:ext uri="{FF2B5EF4-FFF2-40B4-BE49-F238E27FC236}">
              <a16:creationId xmlns:a16="http://schemas.microsoft.com/office/drawing/2014/main" id="{5A1CADC6-ACC7-4E2D-8CB4-D0F9DF0A75D7}"/>
            </a:ext>
          </a:extLst>
        </xdr:cNvPr>
        <xdr:cNvSpPr/>
      </xdr:nvSpPr>
      <xdr:spPr>
        <a:xfrm>
          <a:off x="5943600" y="76523849"/>
          <a:ext cx="2409825" cy="69246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a medical specialty society that focuses on education for health care professionals specializing in the care of older adults, and long-term care. OGS is an official member of the Council of State Affiliates of the national organization, American Geriatrics Society.</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The Annual Conference is designed for physicians, nurse practitioners, and other healthcare professionals who work with older adults in various care settings.</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Sunriver Resort</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Additional Info: </a:t>
          </a:r>
        </a:p>
        <a:p>
          <a:pPr algn="l"/>
          <a:r>
            <a:rPr lang="en-US" sz="1100" b="1" i="1">
              <a:solidFill>
                <a:schemeClr val="lt1"/>
              </a:solidFill>
              <a:effectLst/>
              <a:latin typeface="+mn-lt"/>
              <a:ea typeface="+mn-ea"/>
              <a:cs typeface="+mn-cs"/>
            </a:rPr>
            <a:t>"Need Jessica to weigh in"</a:t>
          </a:r>
          <a:endParaRPr lang="en-US" sz="1100"/>
        </a:p>
      </xdr:txBody>
    </xdr:sp>
    <xdr:clientData/>
  </xdr:twoCellAnchor>
  <xdr:twoCellAnchor>
    <xdr:from>
      <xdr:col>0</xdr:col>
      <xdr:colOff>123825</xdr:colOff>
      <xdr:row>413</xdr:row>
      <xdr:rowOff>85725</xdr:rowOff>
    </xdr:from>
    <xdr:to>
      <xdr:col>4</xdr:col>
      <xdr:colOff>104775</xdr:colOff>
      <xdr:row>423</xdr:row>
      <xdr:rowOff>180975</xdr:rowOff>
    </xdr:to>
    <xdr:sp macro="" textlink="">
      <xdr:nvSpPr>
        <xdr:cNvPr id="1107" name="Rectangle 1106">
          <a:extLst>
            <a:ext uri="{FF2B5EF4-FFF2-40B4-BE49-F238E27FC236}">
              <a16:creationId xmlns:a16="http://schemas.microsoft.com/office/drawing/2014/main" id="{11B716CD-BC32-4D2E-8523-6C0BFC64B307}"/>
            </a:ext>
          </a:extLst>
        </xdr:cNvPr>
        <xdr:cNvSpPr/>
      </xdr:nvSpPr>
      <xdr:spPr>
        <a:xfrm>
          <a:off x="123825" y="72485250"/>
          <a:ext cx="2419350" cy="2000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Travel to Sun River; Sun River Resort; Fees to participate not available yet</a:t>
          </a:r>
          <a:br>
            <a:rPr lang="en-US"/>
          </a:br>
          <a:endParaRPr lang="en-US" sz="1100"/>
        </a:p>
      </xdr:txBody>
    </xdr:sp>
    <xdr:clientData/>
  </xdr:twoCellAnchor>
  <xdr:twoCellAnchor>
    <xdr:from>
      <xdr:col>5</xdr:col>
      <xdr:colOff>0</xdr:colOff>
      <xdr:row>412</xdr:row>
      <xdr:rowOff>19050</xdr:rowOff>
    </xdr:from>
    <xdr:to>
      <xdr:col>9</xdr:col>
      <xdr:colOff>200025</xdr:colOff>
      <xdr:row>414</xdr:row>
      <xdr:rowOff>114300</xdr:rowOff>
    </xdr:to>
    <xdr:sp macro="" textlink="">
      <xdr:nvSpPr>
        <xdr:cNvPr id="1108" name="Rectangle 1107">
          <a:extLst>
            <a:ext uri="{FF2B5EF4-FFF2-40B4-BE49-F238E27FC236}">
              <a16:creationId xmlns:a16="http://schemas.microsoft.com/office/drawing/2014/main" id="{0D4ED4E2-A55A-4C19-B687-0A8FC222BFAF}"/>
            </a:ext>
          </a:extLst>
        </xdr:cNvPr>
        <xdr:cNvSpPr/>
      </xdr:nvSpPr>
      <xdr:spPr>
        <a:xfrm>
          <a:off x="3048000" y="80819625"/>
          <a:ext cx="2638425" cy="476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NPs, Docs, and other providers of care for older adults</a:t>
          </a:r>
          <a:endParaRPr lang="en-US" sz="1100"/>
        </a:p>
      </xdr:txBody>
    </xdr:sp>
    <xdr:clientData/>
  </xdr:twoCellAnchor>
  <xdr:twoCellAnchor>
    <xdr:from>
      <xdr:col>4</xdr:col>
      <xdr:colOff>590550</xdr:colOff>
      <xdr:row>416</xdr:row>
      <xdr:rowOff>133350</xdr:rowOff>
    </xdr:from>
    <xdr:to>
      <xdr:col>8</xdr:col>
      <xdr:colOff>561975</xdr:colOff>
      <xdr:row>418</xdr:row>
      <xdr:rowOff>104775</xdr:rowOff>
    </xdr:to>
    <xdr:sp macro="" textlink="">
      <xdr:nvSpPr>
        <xdr:cNvPr id="1109" name="Rectangle 1108">
          <a:extLst>
            <a:ext uri="{FF2B5EF4-FFF2-40B4-BE49-F238E27FC236}">
              <a16:creationId xmlns:a16="http://schemas.microsoft.com/office/drawing/2014/main" id="{3B5149E1-01E1-41D2-917A-80B861D27A5F}"/>
            </a:ext>
          </a:extLst>
        </xdr:cNvPr>
        <xdr:cNvSpPr/>
      </xdr:nvSpPr>
      <xdr:spPr>
        <a:xfrm>
          <a:off x="3028950" y="8169592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a:t>
          </a:r>
          <a:endParaRPr lang="en-US" sz="1100"/>
        </a:p>
      </xdr:txBody>
    </xdr:sp>
    <xdr:clientData/>
  </xdr:twoCellAnchor>
  <xdr:twoCellAnchor>
    <xdr:from>
      <xdr:col>5</xdr:col>
      <xdr:colOff>9525</xdr:colOff>
      <xdr:row>420</xdr:row>
      <xdr:rowOff>85725</xdr:rowOff>
    </xdr:from>
    <xdr:to>
      <xdr:col>8</xdr:col>
      <xdr:colOff>571500</xdr:colOff>
      <xdr:row>423</xdr:row>
      <xdr:rowOff>180975</xdr:rowOff>
    </xdr:to>
    <xdr:sp macro="" textlink="">
      <xdr:nvSpPr>
        <xdr:cNvPr id="1110" name="Rectangle 1109">
          <a:hlinkClick xmlns:r="http://schemas.openxmlformats.org/officeDocument/2006/relationships" r:id="rId14"/>
          <a:extLst>
            <a:ext uri="{FF2B5EF4-FFF2-40B4-BE49-F238E27FC236}">
              <a16:creationId xmlns:a16="http://schemas.microsoft.com/office/drawing/2014/main" id="{237ED310-E0F4-407E-8A63-96D568435515}"/>
            </a:ext>
          </a:extLst>
        </xdr:cNvPr>
        <xdr:cNvSpPr/>
      </xdr:nvSpPr>
      <xdr:spPr>
        <a:xfrm>
          <a:off x="3057525" y="73628250"/>
          <a:ext cx="2390775" cy="666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Oregon Geriatrics Society | Leading the Charge in Geriatric Care</a:t>
          </a:r>
          <a:endParaRPr lang="en-US" sz="1100">
            <a:solidFill>
              <a:schemeClr val="bg1"/>
            </a:solidFill>
          </a:endParaRPr>
        </a:p>
      </xdr:txBody>
    </xdr:sp>
    <xdr:clientData/>
  </xdr:twoCellAnchor>
  <xdr:twoCellAnchor>
    <xdr:from>
      <xdr:col>10</xdr:col>
      <xdr:colOff>57150</xdr:colOff>
      <xdr:row>385</xdr:row>
      <xdr:rowOff>19050</xdr:rowOff>
    </xdr:from>
    <xdr:to>
      <xdr:col>13</xdr:col>
      <xdr:colOff>552450</xdr:colOff>
      <xdr:row>388</xdr:row>
      <xdr:rowOff>114299</xdr:rowOff>
    </xdr:to>
    <xdr:sp macro="" textlink="">
      <xdr:nvSpPr>
        <xdr:cNvPr id="1111" name="Rectangle 1110">
          <a:extLst>
            <a:ext uri="{FF2B5EF4-FFF2-40B4-BE49-F238E27FC236}">
              <a16:creationId xmlns:a16="http://schemas.microsoft.com/office/drawing/2014/main" id="{F806293C-8769-4145-9B34-CBD41711384E}"/>
            </a:ext>
          </a:extLst>
        </xdr:cNvPr>
        <xdr:cNvSpPr/>
      </xdr:nvSpPr>
      <xdr:spPr>
        <a:xfrm>
          <a:off x="6153150" y="67036950"/>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Did not attend because it conflicts with another event</a:t>
          </a:r>
        </a:p>
      </xdr:txBody>
    </xdr:sp>
    <xdr:clientData/>
  </xdr:twoCellAnchor>
  <xdr:twoCellAnchor>
    <xdr:from>
      <xdr:col>0</xdr:col>
      <xdr:colOff>95250</xdr:colOff>
      <xdr:row>430</xdr:row>
      <xdr:rowOff>95250</xdr:rowOff>
    </xdr:from>
    <xdr:to>
      <xdr:col>0</xdr:col>
      <xdr:colOff>438150</xdr:colOff>
      <xdr:row>432</xdr:row>
      <xdr:rowOff>28575</xdr:rowOff>
    </xdr:to>
    <xdr:sp macro="" textlink="">
      <xdr:nvSpPr>
        <xdr:cNvPr id="1130" name="Star: 5 Points 1129">
          <a:extLst>
            <a:ext uri="{FF2B5EF4-FFF2-40B4-BE49-F238E27FC236}">
              <a16:creationId xmlns:a16="http://schemas.microsoft.com/office/drawing/2014/main" id="{E391C54A-2E8B-4A4D-8A17-64D8AA43E456}"/>
            </a:ext>
          </a:extLst>
        </xdr:cNvPr>
        <xdr:cNvSpPr/>
      </xdr:nvSpPr>
      <xdr:spPr>
        <a:xfrm>
          <a:off x="95250" y="417290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430</xdr:row>
      <xdr:rowOff>114300</xdr:rowOff>
    </xdr:from>
    <xdr:to>
      <xdr:col>1</xdr:col>
      <xdr:colOff>247650</xdr:colOff>
      <xdr:row>432</xdr:row>
      <xdr:rowOff>47625</xdr:rowOff>
    </xdr:to>
    <xdr:sp macro="" textlink="">
      <xdr:nvSpPr>
        <xdr:cNvPr id="1131" name="Star: 5 Points 1130">
          <a:extLst>
            <a:ext uri="{FF2B5EF4-FFF2-40B4-BE49-F238E27FC236}">
              <a16:creationId xmlns:a16="http://schemas.microsoft.com/office/drawing/2014/main" id="{D88380DC-AC93-49EF-A454-282CF49583FE}"/>
            </a:ext>
          </a:extLst>
        </xdr:cNvPr>
        <xdr:cNvSpPr/>
      </xdr:nvSpPr>
      <xdr:spPr>
        <a:xfrm>
          <a:off x="514350" y="417480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430</xdr:row>
      <xdr:rowOff>114300</xdr:rowOff>
    </xdr:from>
    <xdr:to>
      <xdr:col>2</xdr:col>
      <xdr:colOff>76200</xdr:colOff>
      <xdr:row>432</xdr:row>
      <xdr:rowOff>47625</xdr:rowOff>
    </xdr:to>
    <xdr:sp macro="" textlink="">
      <xdr:nvSpPr>
        <xdr:cNvPr id="1132" name="Star: 5 Points 1131">
          <a:extLst>
            <a:ext uri="{FF2B5EF4-FFF2-40B4-BE49-F238E27FC236}">
              <a16:creationId xmlns:a16="http://schemas.microsoft.com/office/drawing/2014/main" id="{ED8666F7-A92B-470C-8BAB-1E8AEB8A48D0}"/>
            </a:ext>
          </a:extLst>
        </xdr:cNvPr>
        <xdr:cNvSpPr/>
      </xdr:nvSpPr>
      <xdr:spPr>
        <a:xfrm>
          <a:off x="952500" y="417480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430</xdr:row>
      <xdr:rowOff>114300</xdr:rowOff>
    </xdr:from>
    <xdr:to>
      <xdr:col>2</xdr:col>
      <xdr:colOff>523875</xdr:colOff>
      <xdr:row>432</xdr:row>
      <xdr:rowOff>47625</xdr:rowOff>
    </xdr:to>
    <xdr:sp macro="" textlink="">
      <xdr:nvSpPr>
        <xdr:cNvPr id="1133" name="Star: 5 Points 1132">
          <a:extLst>
            <a:ext uri="{FF2B5EF4-FFF2-40B4-BE49-F238E27FC236}">
              <a16:creationId xmlns:a16="http://schemas.microsoft.com/office/drawing/2014/main" id="{F41A99E1-CC47-4BC0-B92F-F266F4FF7478}"/>
            </a:ext>
          </a:extLst>
        </xdr:cNvPr>
        <xdr:cNvSpPr/>
      </xdr:nvSpPr>
      <xdr:spPr>
        <a:xfrm>
          <a:off x="1400175" y="417480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430</xdr:row>
      <xdr:rowOff>123825</xdr:rowOff>
    </xdr:from>
    <xdr:to>
      <xdr:col>3</xdr:col>
      <xdr:colOff>342900</xdr:colOff>
      <xdr:row>432</xdr:row>
      <xdr:rowOff>57150</xdr:rowOff>
    </xdr:to>
    <xdr:sp macro="" textlink="">
      <xdr:nvSpPr>
        <xdr:cNvPr id="1134" name="Star: 5 Points 1133">
          <a:extLst>
            <a:ext uri="{FF2B5EF4-FFF2-40B4-BE49-F238E27FC236}">
              <a16:creationId xmlns:a16="http://schemas.microsoft.com/office/drawing/2014/main" id="{7CC8C97B-5FDB-4496-9915-1F9ECB3449AD}"/>
            </a:ext>
          </a:extLst>
        </xdr:cNvPr>
        <xdr:cNvSpPr/>
      </xdr:nvSpPr>
      <xdr:spPr>
        <a:xfrm>
          <a:off x="1828800" y="41757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434</xdr:row>
      <xdr:rowOff>57151</xdr:rowOff>
    </xdr:from>
    <xdr:to>
      <xdr:col>4</xdr:col>
      <xdr:colOff>57150</xdr:colOff>
      <xdr:row>438</xdr:row>
      <xdr:rowOff>9526</xdr:rowOff>
    </xdr:to>
    <xdr:sp macro="" textlink="">
      <xdr:nvSpPr>
        <xdr:cNvPr id="1135" name="Rectangle 1134">
          <a:extLst>
            <a:ext uri="{FF2B5EF4-FFF2-40B4-BE49-F238E27FC236}">
              <a16:creationId xmlns:a16="http://schemas.microsoft.com/office/drawing/2014/main" id="{36DEAC35-F969-4688-8584-737DA0114BBA}"/>
            </a:ext>
          </a:extLst>
        </xdr:cNvPr>
        <xdr:cNvSpPr/>
      </xdr:nvSpPr>
      <xdr:spPr>
        <a:xfrm>
          <a:off x="85725" y="424624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440</xdr:row>
      <xdr:rowOff>76201</xdr:rowOff>
    </xdr:from>
    <xdr:to>
      <xdr:col>4</xdr:col>
      <xdr:colOff>57150</xdr:colOff>
      <xdr:row>444</xdr:row>
      <xdr:rowOff>38101</xdr:rowOff>
    </xdr:to>
    <xdr:sp macro="" textlink="">
      <xdr:nvSpPr>
        <xdr:cNvPr id="1136" name="Rectangle 1135">
          <a:extLst>
            <a:ext uri="{FF2B5EF4-FFF2-40B4-BE49-F238E27FC236}">
              <a16:creationId xmlns:a16="http://schemas.microsoft.com/office/drawing/2014/main" id="{6A2FE80B-9B86-4FAC-BE45-C618ECB403D1}"/>
            </a:ext>
          </a:extLst>
        </xdr:cNvPr>
        <xdr:cNvSpPr/>
      </xdr:nvSpPr>
      <xdr:spPr>
        <a:xfrm>
          <a:off x="85725" y="436435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446</xdr:row>
      <xdr:rowOff>123825</xdr:rowOff>
    </xdr:from>
    <xdr:to>
      <xdr:col>4</xdr:col>
      <xdr:colOff>76200</xdr:colOff>
      <xdr:row>455</xdr:row>
      <xdr:rowOff>9525</xdr:rowOff>
    </xdr:to>
    <xdr:sp macro="" textlink="">
      <xdr:nvSpPr>
        <xdr:cNvPr id="1137" name="Rectangle 1136">
          <a:extLst>
            <a:ext uri="{FF2B5EF4-FFF2-40B4-BE49-F238E27FC236}">
              <a16:creationId xmlns:a16="http://schemas.microsoft.com/office/drawing/2014/main" id="{794C72F5-3102-4F3A-A383-19A268EB91CC}"/>
            </a:ext>
          </a:extLst>
        </xdr:cNvPr>
        <xdr:cNvSpPr/>
      </xdr:nvSpPr>
      <xdr:spPr>
        <a:xfrm>
          <a:off x="104775" y="4484370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434</xdr:row>
      <xdr:rowOff>38100</xdr:rowOff>
    </xdr:from>
    <xdr:to>
      <xdr:col>8</xdr:col>
      <xdr:colOff>561975</xdr:colOff>
      <xdr:row>436</xdr:row>
      <xdr:rowOff>161925</xdr:rowOff>
    </xdr:to>
    <xdr:sp macro="" textlink="">
      <xdr:nvSpPr>
        <xdr:cNvPr id="1138" name="Rectangle 1137">
          <a:extLst>
            <a:ext uri="{FF2B5EF4-FFF2-40B4-BE49-F238E27FC236}">
              <a16:creationId xmlns:a16="http://schemas.microsoft.com/office/drawing/2014/main" id="{692BF9FD-8CB9-4130-A82F-9B9D166AC5C9}"/>
            </a:ext>
          </a:extLst>
        </xdr:cNvPr>
        <xdr:cNvSpPr/>
      </xdr:nvSpPr>
      <xdr:spPr>
        <a:xfrm>
          <a:off x="3028950" y="4244340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440</xdr:row>
      <xdr:rowOff>76201</xdr:rowOff>
    </xdr:from>
    <xdr:to>
      <xdr:col>8</xdr:col>
      <xdr:colOff>561975</xdr:colOff>
      <xdr:row>444</xdr:row>
      <xdr:rowOff>38101</xdr:rowOff>
    </xdr:to>
    <xdr:sp macro="" textlink="">
      <xdr:nvSpPr>
        <xdr:cNvPr id="1139" name="Rectangle 1138">
          <a:extLst>
            <a:ext uri="{FF2B5EF4-FFF2-40B4-BE49-F238E27FC236}">
              <a16:creationId xmlns:a16="http://schemas.microsoft.com/office/drawing/2014/main" id="{C55D5F81-AAE7-4BCD-8A21-0E77626B47AF}"/>
            </a:ext>
          </a:extLst>
        </xdr:cNvPr>
        <xdr:cNvSpPr/>
      </xdr:nvSpPr>
      <xdr:spPr>
        <a:xfrm>
          <a:off x="3028950" y="436435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446</xdr:row>
      <xdr:rowOff>104775</xdr:rowOff>
    </xdr:from>
    <xdr:to>
      <xdr:col>8</xdr:col>
      <xdr:colOff>561975</xdr:colOff>
      <xdr:row>448</xdr:row>
      <xdr:rowOff>171450</xdr:rowOff>
    </xdr:to>
    <xdr:sp macro="" textlink="">
      <xdr:nvSpPr>
        <xdr:cNvPr id="1140" name="Rectangle 1139">
          <a:extLst>
            <a:ext uri="{FF2B5EF4-FFF2-40B4-BE49-F238E27FC236}">
              <a16:creationId xmlns:a16="http://schemas.microsoft.com/office/drawing/2014/main" id="{C499F2DD-222A-46B8-B46F-A63431E7E011}"/>
            </a:ext>
          </a:extLst>
        </xdr:cNvPr>
        <xdr:cNvSpPr/>
      </xdr:nvSpPr>
      <xdr:spPr>
        <a:xfrm>
          <a:off x="3028950" y="44824650"/>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Kerri Cummiskey put in request but did not specify</a:t>
          </a:r>
          <a:r>
            <a:rPr lang="en-US" sz="1100" baseline="0"/>
            <a:t> event lead. </a:t>
          </a:r>
          <a:endParaRPr lang="en-US" sz="1100"/>
        </a:p>
      </xdr:txBody>
    </xdr:sp>
    <xdr:clientData/>
  </xdr:twoCellAnchor>
  <xdr:twoCellAnchor>
    <xdr:from>
      <xdr:col>4</xdr:col>
      <xdr:colOff>581026</xdr:colOff>
      <xdr:row>450</xdr:row>
      <xdr:rowOff>104775</xdr:rowOff>
    </xdr:from>
    <xdr:to>
      <xdr:col>5</xdr:col>
      <xdr:colOff>495300</xdr:colOff>
      <xdr:row>452</xdr:row>
      <xdr:rowOff>57150</xdr:rowOff>
    </xdr:to>
    <xdr:sp macro="" textlink="">
      <xdr:nvSpPr>
        <xdr:cNvPr id="1141" name="Rectangle 1140">
          <a:extLst>
            <a:ext uri="{FF2B5EF4-FFF2-40B4-BE49-F238E27FC236}">
              <a16:creationId xmlns:a16="http://schemas.microsoft.com/office/drawing/2014/main" id="{3413A44A-AA35-4F1C-9D61-62D3CB86BC3F}"/>
            </a:ext>
          </a:extLst>
        </xdr:cNvPr>
        <xdr:cNvSpPr/>
      </xdr:nvSpPr>
      <xdr:spPr>
        <a:xfrm>
          <a:off x="3019426" y="45586650"/>
          <a:ext cx="52387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700+</a:t>
          </a:r>
        </a:p>
        <a:p>
          <a:pPr algn="l"/>
          <a:endParaRPr lang="en-US" sz="1100"/>
        </a:p>
      </xdr:txBody>
    </xdr:sp>
    <xdr:clientData/>
  </xdr:twoCellAnchor>
  <xdr:twoCellAnchor>
    <xdr:from>
      <xdr:col>9</xdr:col>
      <xdr:colOff>428625</xdr:colOff>
      <xdr:row>434</xdr:row>
      <xdr:rowOff>19048</xdr:rowOff>
    </xdr:from>
    <xdr:to>
      <xdr:col>13</xdr:col>
      <xdr:colOff>476250</xdr:colOff>
      <xdr:row>470</xdr:row>
      <xdr:rowOff>123824</xdr:rowOff>
    </xdr:to>
    <xdr:sp macro="" textlink="">
      <xdr:nvSpPr>
        <xdr:cNvPr id="1142" name="Rectangle 1141">
          <a:extLst>
            <a:ext uri="{FF2B5EF4-FFF2-40B4-BE49-F238E27FC236}">
              <a16:creationId xmlns:a16="http://schemas.microsoft.com/office/drawing/2014/main" id="{3696F151-851C-446E-A96F-AA5058011857}"/>
            </a:ext>
          </a:extLst>
        </xdr:cNvPr>
        <xdr:cNvSpPr/>
      </xdr:nvSpPr>
      <xdr:spPr>
        <a:xfrm>
          <a:off x="5915025" y="42424348"/>
          <a:ext cx="2486025" cy="6991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Visibility to all ACO opportunities ad education on a national level</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The agenda will feature leading ACO experts and CMS officials sharing timely and essential information for ACOs.  As always, the entire conference will be recorded and all participants, both in-person and virtual, will be able to view any sessions they missed live for six months following the conference. </a:t>
          </a:r>
          <a:r>
            <a:rPr lang="en-US" sz="1100" b="1" i="0">
              <a:solidFill>
                <a:schemeClr val="lt1"/>
              </a:solidFill>
              <a:effectLst/>
              <a:latin typeface="+mn-lt"/>
              <a:ea typeface="+mn-ea"/>
              <a:cs typeface="+mn-cs"/>
            </a:rPr>
            <a:t>**CAN BE ATTENDED VIRTUALLY, BUT NOT GOOD IF WE WANT TO NETWORK</a:t>
          </a:r>
        </a:p>
        <a:p>
          <a:pPr algn="l"/>
          <a:endParaRPr lang="en-US" sz="1100" b="0" i="0" u="none">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Baltimore,</a:t>
          </a:r>
          <a:r>
            <a:rPr lang="en-US" sz="1100" b="0" i="0" baseline="0">
              <a:solidFill>
                <a:schemeClr val="lt1"/>
              </a:solidFill>
              <a:effectLst/>
              <a:latin typeface="+mn-lt"/>
              <a:ea typeface="+mn-ea"/>
              <a:cs typeface="+mn-cs"/>
            </a:rPr>
            <a:t> Maryland</a:t>
          </a:r>
        </a:p>
        <a:p>
          <a:pPr algn="l"/>
          <a:endParaRPr lang="en-US" sz="1100" b="0" i="0" baseline="0">
            <a:solidFill>
              <a:schemeClr val="lt1"/>
            </a:solidFill>
            <a:effectLst/>
            <a:latin typeface="+mn-lt"/>
            <a:ea typeface="+mn-ea"/>
            <a:cs typeface="+mn-cs"/>
          </a:endParaRPr>
        </a:p>
        <a:p>
          <a:pPr algn="l"/>
          <a:r>
            <a:rPr lang="en-US" sz="1100" b="1" i="0" baseline="0">
              <a:solidFill>
                <a:schemeClr val="lt1"/>
              </a:solidFill>
              <a:effectLst/>
              <a:latin typeface="+mn-lt"/>
              <a:ea typeface="+mn-ea"/>
              <a:cs typeface="+mn-cs"/>
            </a:rPr>
            <a:t>Additional Info: </a:t>
          </a:r>
          <a:endParaRPr lang="en-US" sz="1100" b="0" i="0" baseline="0">
            <a:solidFill>
              <a:schemeClr val="lt1"/>
            </a:solidFill>
            <a:effectLst/>
            <a:latin typeface="+mn-lt"/>
            <a:ea typeface="+mn-ea"/>
            <a:cs typeface="+mn-cs"/>
          </a:endParaRPr>
        </a:p>
        <a:p>
          <a:r>
            <a:rPr lang="en-US" sz="1100" b="1" i="0">
              <a:solidFill>
                <a:schemeClr val="lt1"/>
              </a:solidFill>
              <a:effectLst/>
              <a:latin typeface="+mn-lt"/>
              <a:ea typeface="+mn-ea"/>
              <a:cs typeface="+mn-cs"/>
            </a:rPr>
            <a:t>Future Conference Dates</a:t>
          </a:r>
        </a:p>
        <a:p>
          <a:r>
            <a:rPr lang="en-US" sz="1100" b="1" i="0">
              <a:solidFill>
                <a:schemeClr val="lt1"/>
              </a:solidFill>
              <a:effectLst/>
              <a:latin typeface="+mn-lt"/>
              <a:ea typeface="+mn-ea"/>
              <a:cs typeface="+mn-cs"/>
            </a:rPr>
            <a:t>Fall 2025 </a:t>
          </a:r>
          <a:r>
            <a:rPr lang="en-US" sz="1100" b="0" i="0">
              <a:solidFill>
                <a:schemeClr val="lt1"/>
              </a:solidFill>
              <a:effectLst/>
              <a:latin typeface="+mn-lt"/>
              <a:ea typeface="+mn-ea"/>
              <a:cs typeface="+mn-cs"/>
            </a:rPr>
            <a:t>October 8–10, Marriott Marquis Washington, D.C.</a:t>
          </a:r>
        </a:p>
        <a:p>
          <a:r>
            <a:rPr lang="en-US" sz="1100" b="1" i="0">
              <a:solidFill>
                <a:schemeClr val="lt1"/>
              </a:solidFill>
              <a:effectLst/>
              <a:latin typeface="+mn-lt"/>
              <a:ea typeface="+mn-ea"/>
              <a:cs typeface="+mn-cs"/>
            </a:rPr>
            <a:t>Spring 2026 </a:t>
          </a:r>
          <a:r>
            <a:rPr lang="en-US" sz="1100" b="0" i="0">
              <a:solidFill>
                <a:schemeClr val="lt1"/>
              </a:solidFill>
              <a:effectLst/>
              <a:latin typeface="+mn-lt"/>
              <a:ea typeface="+mn-ea"/>
              <a:cs typeface="+mn-cs"/>
            </a:rPr>
            <a:t>April 22–24, Hilton Baltimore Inner Harbor</a:t>
          </a:r>
        </a:p>
        <a:p>
          <a:r>
            <a:rPr lang="en-US" sz="1100" b="1" i="0">
              <a:solidFill>
                <a:schemeClr val="lt1"/>
              </a:solidFill>
              <a:effectLst/>
              <a:latin typeface="+mn-lt"/>
              <a:ea typeface="+mn-ea"/>
              <a:cs typeface="+mn-cs"/>
            </a:rPr>
            <a:t>Fall 2026</a:t>
          </a:r>
          <a:r>
            <a:rPr lang="en-US" sz="1100" b="1" i="0" baseline="0">
              <a:solidFill>
                <a:schemeClr val="lt1"/>
              </a:solidFill>
              <a:effectLst/>
              <a:latin typeface="+mn-lt"/>
              <a:ea typeface="+mn-ea"/>
              <a:cs typeface="+mn-cs"/>
            </a:rPr>
            <a:t> </a:t>
          </a:r>
          <a:r>
            <a:rPr lang="en-US" sz="1100" b="0" i="0">
              <a:solidFill>
                <a:schemeClr val="lt1"/>
              </a:solidFill>
              <a:effectLst/>
              <a:latin typeface="+mn-lt"/>
              <a:ea typeface="+mn-ea"/>
              <a:cs typeface="+mn-cs"/>
            </a:rPr>
            <a:t>October 14–16, Marriott Marquis Washington, D.C.</a:t>
          </a:r>
        </a:p>
        <a:p>
          <a:r>
            <a:rPr lang="en-US" sz="1100" b="1" i="0">
              <a:solidFill>
                <a:schemeClr val="lt1"/>
              </a:solidFill>
              <a:effectLst/>
              <a:latin typeface="+mn-lt"/>
              <a:ea typeface="+mn-ea"/>
              <a:cs typeface="+mn-cs"/>
            </a:rPr>
            <a:t>Spring 2027 </a:t>
          </a:r>
          <a:r>
            <a:rPr lang="en-US" sz="1100" b="0" i="0">
              <a:solidFill>
                <a:schemeClr val="lt1"/>
              </a:solidFill>
              <a:effectLst/>
              <a:latin typeface="+mn-lt"/>
              <a:ea typeface="+mn-ea"/>
              <a:cs typeface="+mn-cs"/>
            </a:rPr>
            <a:t>April 13–15, Hilton Baltimore Inner Harbor (Tues–Thurs)</a:t>
          </a:r>
        </a:p>
        <a:p>
          <a:r>
            <a:rPr lang="en-US" sz="1100" b="1" i="0">
              <a:solidFill>
                <a:schemeClr val="lt1"/>
              </a:solidFill>
              <a:effectLst/>
              <a:latin typeface="+mn-lt"/>
              <a:ea typeface="+mn-ea"/>
              <a:cs typeface="+mn-cs"/>
            </a:rPr>
            <a:t>Fall 2027 </a:t>
          </a:r>
          <a:r>
            <a:rPr lang="en-US" sz="1100" b="0" i="0">
              <a:solidFill>
                <a:schemeClr val="lt1"/>
              </a:solidFill>
              <a:effectLst/>
              <a:latin typeface="+mn-lt"/>
              <a:ea typeface="+mn-ea"/>
              <a:cs typeface="+mn-cs"/>
            </a:rPr>
            <a:t>October 4–6, Marriott Marquis Washington, D.C. (Mon–Wed)</a:t>
          </a:r>
        </a:p>
        <a:p>
          <a:r>
            <a:rPr lang="en-US" sz="1100" b="1" i="0">
              <a:solidFill>
                <a:schemeClr val="lt1"/>
              </a:solidFill>
              <a:effectLst/>
              <a:latin typeface="+mn-lt"/>
              <a:ea typeface="+mn-ea"/>
              <a:cs typeface="+mn-cs"/>
            </a:rPr>
            <a:t>Spring 2028 </a:t>
          </a:r>
          <a:r>
            <a:rPr lang="en-US" sz="1100" b="0" i="0">
              <a:solidFill>
                <a:schemeClr val="lt1"/>
              </a:solidFill>
              <a:effectLst/>
              <a:latin typeface="+mn-lt"/>
              <a:ea typeface="+mn-ea"/>
              <a:cs typeface="+mn-cs"/>
            </a:rPr>
            <a:t>April 3–5, Hilton Baltimore Inner Harbor (Mon–Wed)</a:t>
          </a:r>
        </a:p>
        <a:p>
          <a:r>
            <a:rPr lang="en-US" sz="1100" b="1" i="0">
              <a:solidFill>
                <a:schemeClr val="lt1"/>
              </a:solidFill>
              <a:effectLst/>
              <a:latin typeface="+mn-lt"/>
              <a:ea typeface="+mn-ea"/>
              <a:cs typeface="+mn-cs"/>
            </a:rPr>
            <a:t>Fall 2028 </a:t>
          </a:r>
          <a:r>
            <a:rPr lang="en-US" sz="1100" b="0" i="0">
              <a:solidFill>
                <a:schemeClr val="lt1"/>
              </a:solidFill>
              <a:effectLst/>
              <a:latin typeface="+mn-lt"/>
              <a:ea typeface="+mn-ea"/>
              <a:cs typeface="+mn-cs"/>
            </a:rPr>
            <a:t>October 18–20, Marriott Marquis Washington, D.C. (Wed–Fri)</a:t>
          </a:r>
        </a:p>
        <a:p>
          <a:pPr algn="l"/>
          <a:endParaRPr lang="en-US" sz="1100" b="0" i="0" baseline="0">
            <a:solidFill>
              <a:schemeClr val="lt1"/>
            </a:solidFill>
            <a:effectLst/>
            <a:latin typeface="+mn-lt"/>
            <a:ea typeface="+mn-ea"/>
            <a:cs typeface="+mn-cs"/>
          </a:endParaRPr>
        </a:p>
      </xdr:txBody>
    </xdr:sp>
    <xdr:clientData/>
  </xdr:twoCellAnchor>
  <xdr:twoCellAnchor>
    <xdr:from>
      <xdr:col>0</xdr:col>
      <xdr:colOff>123825</xdr:colOff>
      <xdr:row>457</xdr:row>
      <xdr:rowOff>85725</xdr:rowOff>
    </xdr:from>
    <xdr:to>
      <xdr:col>4</xdr:col>
      <xdr:colOff>95250</xdr:colOff>
      <xdr:row>460</xdr:row>
      <xdr:rowOff>114300</xdr:rowOff>
    </xdr:to>
    <xdr:sp macro="" textlink="">
      <xdr:nvSpPr>
        <xdr:cNvPr id="1143" name="Rectangle 1142">
          <a:hlinkClick xmlns:r="http://schemas.openxmlformats.org/officeDocument/2006/relationships" r:id="rId9"/>
          <a:extLst>
            <a:ext uri="{FF2B5EF4-FFF2-40B4-BE49-F238E27FC236}">
              <a16:creationId xmlns:a16="http://schemas.microsoft.com/office/drawing/2014/main" id="{BD75045F-7696-4AA1-BE22-8873918CC464}"/>
            </a:ext>
          </a:extLst>
        </xdr:cNvPr>
        <xdr:cNvSpPr/>
      </xdr:nvSpPr>
      <xdr:spPr>
        <a:xfrm>
          <a:off x="123825" y="46901100"/>
          <a:ext cx="2409825" cy="6000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Spring 2025 Conference Registration – NAACOS</a:t>
          </a:r>
          <a:endParaRPr lang="en-US" sz="1100">
            <a:solidFill>
              <a:schemeClr val="bg1"/>
            </a:solidFill>
          </a:endParaRPr>
        </a:p>
      </xdr:txBody>
    </xdr:sp>
    <xdr:clientData/>
  </xdr:twoCellAnchor>
  <xdr:twoCellAnchor>
    <xdr:from>
      <xdr:col>5</xdr:col>
      <xdr:colOff>0</xdr:colOff>
      <xdr:row>454</xdr:row>
      <xdr:rowOff>19050</xdr:rowOff>
    </xdr:from>
    <xdr:to>
      <xdr:col>9</xdr:col>
      <xdr:colOff>238125</xdr:colOff>
      <xdr:row>462</xdr:row>
      <xdr:rowOff>171450</xdr:rowOff>
    </xdr:to>
    <xdr:sp macro="" textlink="">
      <xdr:nvSpPr>
        <xdr:cNvPr id="1144" name="Rectangle 1143">
          <a:extLst>
            <a:ext uri="{FF2B5EF4-FFF2-40B4-BE49-F238E27FC236}">
              <a16:creationId xmlns:a16="http://schemas.microsoft.com/office/drawing/2014/main" id="{4139E401-7371-4D92-81B6-0AE3BA0A173C}"/>
            </a:ext>
          </a:extLst>
        </xdr:cNvPr>
        <xdr:cNvSpPr/>
      </xdr:nvSpPr>
      <xdr:spPr>
        <a:xfrm>
          <a:off x="3048000" y="46262925"/>
          <a:ext cx="2676525" cy="1676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Clinical Leaders of ACOs</a:t>
          </a:r>
        </a:p>
        <a:p>
          <a:r>
            <a:rPr lang="en-US" sz="1100" b="0" i="0">
              <a:solidFill>
                <a:schemeClr val="lt1"/>
              </a:solidFill>
              <a:effectLst/>
              <a:latin typeface="+mn-lt"/>
              <a:ea typeface="+mn-ea"/>
              <a:cs typeface="+mn-cs"/>
            </a:rPr>
            <a:t>Administrators of ACOs</a:t>
          </a:r>
        </a:p>
        <a:p>
          <a:r>
            <a:rPr lang="en-US" sz="1100" b="0" i="0">
              <a:solidFill>
                <a:schemeClr val="lt1"/>
              </a:solidFill>
              <a:effectLst/>
              <a:latin typeface="+mn-lt"/>
              <a:ea typeface="+mn-ea"/>
              <a:cs typeface="+mn-cs"/>
            </a:rPr>
            <a:t>Executives considering the ACO model</a:t>
          </a:r>
        </a:p>
        <a:p>
          <a:r>
            <a:rPr lang="en-US" sz="1100" b="0" i="0">
              <a:solidFill>
                <a:schemeClr val="lt1"/>
              </a:solidFill>
              <a:effectLst/>
              <a:latin typeface="+mn-lt"/>
              <a:ea typeface="+mn-ea"/>
              <a:cs typeface="+mn-cs"/>
            </a:rPr>
            <a:t>CMS Officials</a:t>
          </a:r>
        </a:p>
        <a:p>
          <a:r>
            <a:rPr lang="en-US" sz="1100" b="0" i="0">
              <a:solidFill>
                <a:schemeClr val="lt1"/>
              </a:solidFill>
              <a:effectLst/>
              <a:latin typeface="+mn-lt"/>
              <a:ea typeface="+mn-ea"/>
              <a:cs typeface="+mn-cs"/>
            </a:rPr>
            <a:t>Private Payers</a:t>
          </a:r>
        </a:p>
        <a:p>
          <a:r>
            <a:rPr lang="en-US" sz="1100" b="0" i="0">
              <a:solidFill>
                <a:schemeClr val="lt1"/>
              </a:solidFill>
              <a:effectLst/>
              <a:latin typeface="+mn-lt"/>
              <a:ea typeface="+mn-ea"/>
              <a:cs typeface="+mn-cs"/>
            </a:rPr>
            <a:t>Industry Partners</a:t>
          </a:r>
        </a:p>
      </xdr:txBody>
    </xdr:sp>
    <xdr:clientData/>
  </xdr:twoCellAnchor>
  <xdr:twoCellAnchor>
    <xdr:from>
      <xdr:col>0</xdr:col>
      <xdr:colOff>104775</xdr:colOff>
      <xdr:row>462</xdr:row>
      <xdr:rowOff>123825</xdr:rowOff>
    </xdr:from>
    <xdr:to>
      <xdr:col>4</xdr:col>
      <xdr:colOff>76200</xdr:colOff>
      <xdr:row>465</xdr:row>
      <xdr:rowOff>19050</xdr:rowOff>
    </xdr:to>
    <xdr:sp macro="" textlink="">
      <xdr:nvSpPr>
        <xdr:cNvPr id="1145" name="Rectangle 1144">
          <a:extLst>
            <a:ext uri="{FF2B5EF4-FFF2-40B4-BE49-F238E27FC236}">
              <a16:creationId xmlns:a16="http://schemas.microsoft.com/office/drawing/2014/main" id="{D15BE925-5958-4BB1-ADAB-2B2841EA0B0C}"/>
            </a:ext>
          </a:extLst>
        </xdr:cNvPr>
        <xdr:cNvSpPr/>
      </xdr:nvSpPr>
      <xdr:spPr>
        <a:xfrm>
          <a:off x="104775" y="47891700"/>
          <a:ext cx="2409825" cy="4667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Strategies shared here could benefit all - target for Alante</a:t>
          </a:r>
          <a:endParaRPr lang="en-US" sz="1100"/>
        </a:p>
      </xdr:txBody>
    </xdr:sp>
    <xdr:clientData/>
  </xdr:twoCellAnchor>
  <xdr:twoCellAnchor>
    <xdr:from>
      <xdr:col>0</xdr:col>
      <xdr:colOff>104775</xdr:colOff>
      <xdr:row>467</xdr:row>
      <xdr:rowOff>76200</xdr:rowOff>
    </xdr:from>
    <xdr:to>
      <xdr:col>4</xdr:col>
      <xdr:colOff>76200</xdr:colOff>
      <xdr:row>469</xdr:row>
      <xdr:rowOff>123825</xdr:rowOff>
    </xdr:to>
    <xdr:sp macro="" textlink="">
      <xdr:nvSpPr>
        <xdr:cNvPr id="1146" name="Rectangle 1145">
          <a:hlinkClick xmlns:r="http://schemas.openxmlformats.org/officeDocument/2006/relationships" r:id="rId10"/>
          <a:extLst>
            <a:ext uri="{FF2B5EF4-FFF2-40B4-BE49-F238E27FC236}">
              <a16:creationId xmlns:a16="http://schemas.microsoft.com/office/drawing/2014/main" id="{13592346-8D58-466E-8A6E-29DA659B7C43}"/>
            </a:ext>
          </a:extLst>
        </xdr:cNvPr>
        <xdr:cNvSpPr/>
      </xdr:nvSpPr>
      <xdr:spPr>
        <a:xfrm>
          <a:off x="104775" y="48796575"/>
          <a:ext cx="2409825" cy="428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Spring 2025 Conference – NAACOS</a:t>
          </a:r>
          <a:endParaRPr lang="en-US">
            <a:solidFill>
              <a:schemeClr val="bg1"/>
            </a:solidFill>
          </a:endParaRPr>
        </a:p>
        <a:p>
          <a:pPr algn="l"/>
          <a:endParaRPr lang="en-US" sz="1100">
            <a:solidFill>
              <a:schemeClr val="bg1"/>
            </a:solidFill>
          </a:endParaRPr>
        </a:p>
      </xdr:txBody>
    </xdr:sp>
    <xdr:clientData/>
  </xdr:twoCellAnchor>
  <xdr:twoCellAnchor>
    <xdr:from>
      <xdr:col>10</xdr:col>
      <xdr:colOff>57150</xdr:colOff>
      <xdr:row>429</xdr:row>
      <xdr:rowOff>9525</xdr:rowOff>
    </xdr:from>
    <xdr:to>
      <xdr:col>13</xdr:col>
      <xdr:colOff>552450</xdr:colOff>
      <xdr:row>432</xdr:row>
      <xdr:rowOff>104774</xdr:rowOff>
    </xdr:to>
    <xdr:sp macro="" textlink="">
      <xdr:nvSpPr>
        <xdr:cNvPr id="1147" name="Rectangle 1146">
          <a:extLst>
            <a:ext uri="{FF2B5EF4-FFF2-40B4-BE49-F238E27FC236}">
              <a16:creationId xmlns:a16="http://schemas.microsoft.com/office/drawing/2014/main" id="{372E2E6D-19CB-4227-994C-D3CF7DC9FF4A}"/>
            </a:ext>
          </a:extLst>
        </xdr:cNvPr>
        <xdr:cNvSpPr/>
      </xdr:nvSpPr>
      <xdr:spPr>
        <a:xfrm>
          <a:off x="6153150" y="41443275"/>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Pending Approval...</a:t>
          </a:r>
        </a:p>
      </xdr:txBody>
    </xdr:sp>
    <xdr:clientData/>
  </xdr:twoCellAnchor>
  <xdr:twoCellAnchor>
    <xdr:from>
      <xdr:col>0</xdr:col>
      <xdr:colOff>95250</xdr:colOff>
      <xdr:row>475</xdr:row>
      <xdr:rowOff>95250</xdr:rowOff>
    </xdr:from>
    <xdr:to>
      <xdr:col>0</xdr:col>
      <xdr:colOff>438150</xdr:colOff>
      <xdr:row>477</xdr:row>
      <xdr:rowOff>28575</xdr:rowOff>
    </xdr:to>
    <xdr:sp macro="" textlink="">
      <xdr:nvSpPr>
        <xdr:cNvPr id="1148" name="Star: 5 Points 1147">
          <a:extLst>
            <a:ext uri="{FF2B5EF4-FFF2-40B4-BE49-F238E27FC236}">
              <a16:creationId xmlns:a16="http://schemas.microsoft.com/office/drawing/2014/main" id="{59BE175A-1190-4C0B-86A4-4C7C740D4445}"/>
            </a:ext>
          </a:extLst>
        </xdr:cNvPr>
        <xdr:cNvSpPr/>
      </xdr:nvSpPr>
      <xdr:spPr>
        <a:xfrm>
          <a:off x="95250" y="844962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475</xdr:row>
      <xdr:rowOff>114300</xdr:rowOff>
    </xdr:from>
    <xdr:to>
      <xdr:col>1</xdr:col>
      <xdr:colOff>247650</xdr:colOff>
      <xdr:row>477</xdr:row>
      <xdr:rowOff>47625</xdr:rowOff>
    </xdr:to>
    <xdr:sp macro="" textlink="">
      <xdr:nvSpPr>
        <xdr:cNvPr id="1149" name="Star: 5 Points 1148">
          <a:extLst>
            <a:ext uri="{FF2B5EF4-FFF2-40B4-BE49-F238E27FC236}">
              <a16:creationId xmlns:a16="http://schemas.microsoft.com/office/drawing/2014/main" id="{4E9FABB2-0E0F-49AF-88AE-EE1841DCD3DC}"/>
            </a:ext>
          </a:extLst>
        </xdr:cNvPr>
        <xdr:cNvSpPr/>
      </xdr:nvSpPr>
      <xdr:spPr>
        <a:xfrm>
          <a:off x="514350" y="845153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475</xdr:row>
      <xdr:rowOff>114300</xdr:rowOff>
    </xdr:from>
    <xdr:to>
      <xdr:col>2</xdr:col>
      <xdr:colOff>76200</xdr:colOff>
      <xdr:row>477</xdr:row>
      <xdr:rowOff>47625</xdr:rowOff>
    </xdr:to>
    <xdr:sp macro="" textlink="">
      <xdr:nvSpPr>
        <xdr:cNvPr id="1150" name="Star: 5 Points 1149">
          <a:extLst>
            <a:ext uri="{FF2B5EF4-FFF2-40B4-BE49-F238E27FC236}">
              <a16:creationId xmlns:a16="http://schemas.microsoft.com/office/drawing/2014/main" id="{01D592B2-58D8-463B-A2C5-45BC75DCD853}"/>
            </a:ext>
          </a:extLst>
        </xdr:cNvPr>
        <xdr:cNvSpPr/>
      </xdr:nvSpPr>
      <xdr:spPr>
        <a:xfrm>
          <a:off x="952500" y="845153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475</xdr:row>
      <xdr:rowOff>114300</xdr:rowOff>
    </xdr:from>
    <xdr:to>
      <xdr:col>2</xdr:col>
      <xdr:colOff>523875</xdr:colOff>
      <xdr:row>477</xdr:row>
      <xdr:rowOff>47625</xdr:rowOff>
    </xdr:to>
    <xdr:sp macro="" textlink="">
      <xdr:nvSpPr>
        <xdr:cNvPr id="1151" name="Star: 5 Points 1150">
          <a:extLst>
            <a:ext uri="{FF2B5EF4-FFF2-40B4-BE49-F238E27FC236}">
              <a16:creationId xmlns:a16="http://schemas.microsoft.com/office/drawing/2014/main" id="{7F51B80A-26DD-4280-9DB4-EA65D33AFA60}"/>
            </a:ext>
          </a:extLst>
        </xdr:cNvPr>
        <xdr:cNvSpPr/>
      </xdr:nvSpPr>
      <xdr:spPr>
        <a:xfrm>
          <a:off x="1400175" y="845153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475</xdr:row>
      <xdr:rowOff>123825</xdr:rowOff>
    </xdr:from>
    <xdr:to>
      <xdr:col>3</xdr:col>
      <xdr:colOff>342900</xdr:colOff>
      <xdr:row>477</xdr:row>
      <xdr:rowOff>57150</xdr:rowOff>
    </xdr:to>
    <xdr:sp macro="" textlink="">
      <xdr:nvSpPr>
        <xdr:cNvPr id="1152" name="Star: 5 Points 1151">
          <a:extLst>
            <a:ext uri="{FF2B5EF4-FFF2-40B4-BE49-F238E27FC236}">
              <a16:creationId xmlns:a16="http://schemas.microsoft.com/office/drawing/2014/main" id="{47B9AB20-611B-422B-8D57-618AFBA14DC0}"/>
            </a:ext>
          </a:extLst>
        </xdr:cNvPr>
        <xdr:cNvSpPr/>
      </xdr:nvSpPr>
      <xdr:spPr>
        <a:xfrm>
          <a:off x="1828800" y="845248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479</xdr:row>
      <xdr:rowOff>57151</xdr:rowOff>
    </xdr:from>
    <xdr:to>
      <xdr:col>4</xdr:col>
      <xdr:colOff>57150</xdr:colOff>
      <xdr:row>483</xdr:row>
      <xdr:rowOff>9526</xdr:rowOff>
    </xdr:to>
    <xdr:sp macro="" textlink="">
      <xdr:nvSpPr>
        <xdr:cNvPr id="1153" name="Rectangle 1152">
          <a:extLst>
            <a:ext uri="{FF2B5EF4-FFF2-40B4-BE49-F238E27FC236}">
              <a16:creationId xmlns:a16="http://schemas.microsoft.com/office/drawing/2014/main" id="{A3A4D5E8-3769-44AA-8CF5-F0E9D2AE2654}"/>
            </a:ext>
          </a:extLst>
        </xdr:cNvPr>
        <xdr:cNvSpPr/>
      </xdr:nvSpPr>
      <xdr:spPr>
        <a:xfrm>
          <a:off x="85725" y="852297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485</xdr:row>
      <xdr:rowOff>76201</xdr:rowOff>
    </xdr:from>
    <xdr:to>
      <xdr:col>4</xdr:col>
      <xdr:colOff>57150</xdr:colOff>
      <xdr:row>489</xdr:row>
      <xdr:rowOff>38101</xdr:rowOff>
    </xdr:to>
    <xdr:sp macro="" textlink="">
      <xdr:nvSpPr>
        <xdr:cNvPr id="1154" name="Rectangle 1153">
          <a:extLst>
            <a:ext uri="{FF2B5EF4-FFF2-40B4-BE49-F238E27FC236}">
              <a16:creationId xmlns:a16="http://schemas.microsoft.com/office/drawing/2014/main" id="{483D9B02-1A04-45A3-80BD-ED53FA003885}"/>
            </a:ext>
          </a:extLst>
        </xdr:cNvPr>
        <xdr:cNvSpPr/>
      </xdr:nvSpPr>
      <xdr:spPr>
        <a:xfrm>
          <a:off x="85725" y="864108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491</xdr:row>
      <xdr:rowOff>123825</xdr:rowOff>
    </xdr:from>
    <xdr:to>
      <xdr:col>4</xdr:col>
      <xdr:colOff>76200</xdr:colOff>
      <xdr:row>500</xdr:row>
      <xdr:rowOff>9525</xdr:rowOff>
    </xdr:to>
    <xdr:sp macro="" textlink="">
      <xdr:nvSpPr>
        <xdr:cNvPr id="1155" name="Rectangle 1154">
          <a:extLst>
            <a:ext uri="{FF2B5EF4-FFF2-40B4-BE49-F238E27FC236}">
              <a16:creationId xmlns:a16="http://schemas.microsoft.com/office/drawing/2014/main" id="{8AF4646E-941E-413D-AE84-600EA9D912B9}"/>
            </a:ext>
          </a:extLst>
        </xdr:cNvPr>
        <xdr:cNvSpPr/>
      </xdr:nvSpPr>
      <xdr:spPr>
        <a:xfrm>
          <a:off x="104775" y="876109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479</xdr:row>
      <xdr:rowOff>38100</xdr:rowOff>
    </xdr:from>
    <xdr:to>
      <xdr:col>8</xdr:col>
      <xdr:colOff>561975</xdr:colOff>
      <xdr:row>481</xdr:row>
      <xdr:rowOff>161925</xdr:rowOff>
    </xdr:to>
    <xdr:sp macro="" textlink="">
      <xdr:nvSpPr>
        <xdr:cNvPr id="1156" name="Rectangle 1155">
          <a:extLst>
            <a:ext uri="{FF2B5EF4-FFF2-40B4-BE49-F238E27FC236}">
              <a16:creationId xmlns:a16="http://schemas.microsoft.com/office/drawing/2014/main" id="{21BB2AF7-773F-4842-BFC5-6E4433C8638E}"/>
            </a:ext>
          </a:extLst>
        </xdr:cNvPr>
        <xdr:cNvSpPr/>
      </xdr:nvSpPr>
      <xdr:spPr>
        <a:xfrm>
          <a:off x="3028950" y="852106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485</xdr:row>
      <xdr:rowOff>76201</xdr:rowOff>
    </xdr:from>
    <xdr:to>
      <xdr:col>8</xdr:col>
      <xdr:colOff>561975</xdr:colOff>
      <xdr:row>489</xdr:row>
      <xdr:rowOff>38101</xdr:rowOff>
    </xdr:to>
    <xdr:sp macro="" textlink="">
      <xdr:nvSpPr>
        <xdr:cNvPr id="1157" name="Rectangle 1156">
          <a:extLst>
            <a:ext uri="{FF2B5EF4-FFF2-40B4-BE49-F238E27FC236}">
              <a16:creationId xmlns:a16="http://schemas.microsoft.com/office/drawing/2014/main" id="{EB1C2FDF-36A3-44A1-9BB5-917A33A55DDF}"/>
            </a:ext>
          </a:extLst>
        </xdr:cNvPr>
        <xdr:cNvSpPr/>
      </xdr:nvSpPr>
      <xdr:spPr>
        <a:xfrm>
          <a:off x="3028950" y="864108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491</xdr:row>
      <xdr:rowOff>104775</xdr:rowOff>
    </xdr:from>
    <xdr:to>
      <xdr:col>8</xdr:col>
      <xdr:colOff>561975</xdr:colOff>
      <xdr:row>493</xdr:row>
      <xdr:rowOff>171450</xdr:rowOff>
    </xdr:to>
    <xdr:sp macro="" textlink="">
      <xdr:nvSpPr>
        <xdr:cNvPr id="1158" name="Rectangle 1157">
          <a:extLst>
            <a:ext uri="{FF2B5EF4-FFF2-40B4-BE49-F238E27FC236}">
              <a16:creationId xmlns:a16="http://schemas.microsoft.com/office/drawing/2014/main" id="{7B837266-48CA-4A09-8772-2E7097EB3555}"/>
            </a:ext>
          </a:extLst>
        </xdr:cNvPr>
        <xdr:cNvSpPr/>
      </xdr:nvSpPr>
      <xdr:spPr>
        <a:xfrm>
          <a:off x="3028950" y="87591900"/>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Kerri Cummiskey </a:t>
          </a:r>
        </a:p>
      </xdr:txBody>
    </xdr:sp>
    <xdr:clientData/>
  </xdr:twoCellAnchor>
  <xdr:twoCellAnchor>
    <xdr:from>
      <xdr:col>4</xdr:col>
      <xdr:colOff>581026</xdr:colOff>
      <xdr:row>495</xdr:row>
      <xdr:rowOff>104775</xdr:rowOff>
    </xdr:from>
    <xdr:to>
      <xdr:col>6</xdr:col>
      <xdr:colOff>95250</xdr:colOff>
      <xdr:row>497</xdr:row>
      <xdr:rowOff>57150</xdr:rowOff>
    </xdr:to>
    <xdr:sp macro="" textlink="">
      <xdr:nvSpPr>
        <xdr:cNvPr id="1159" name="Rectangle 1158">
          <a:extLst>
            <a:ext uri="{FF2B5EF4-FFF2-40B4-BE49-F238E27FC236}">
              <a16:creationId xmlns:a16="http://schemas.microsoft.com/office/drawing/2014/main" id="{88CF1542-84A8-4A57-96DD-219589D4F31B}"/>
            </a:ext>
          </a:extLst>
        </xdr:cNvPr>
        <xdr:cNvSpPr/>
      </xdr:nvSpPr>
      <xdr:spPr>
        <a:xfrm>
          <a:off x="3019426" y="97135950"/>
          <a:ext cx="73342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a:p>
          <a:pPr algn="l"/>
          <a:endParaRPr lang="en-US" sz="1100"/>
        </a:p>
      </xdr:txBody>
    </xdr:sp>
    <xdr:clientData/>
  </xdr:twoCellAnchor>
  <xdr:twoCellAnchor>
    <xdr:from>
      <xdr:col>9</xdr:col>
      <xdr:colOff>428625</xdr:colOff>
      <xdr:row>479</xdr:row>
      <xdr:rowOff>19048</xdr:rowOff>
    </xdr:from>
    <xdr:to>
      <xdr:col>13</xdr:col>
      <xdr:colOff>476250</xdr:colOff>
      <xdr:row>515</xdr:row>
      <xdr:rowOff>123824</xdr:rowOff>
    </xdr:to>
    <xdr:sp macro="" textlink="">
      <xdr:nvSpPr>
        <xdr:cNvPr id="1160" name="Rectangle 1159">
          <a:extLst>
            <a:ext uri="{FF2B5EF4-FFF2-40B4-BE49-F238E27FC236}">
              <a16:creationId xmlns:a16="http://schemas.microsoft.com/office/drawing/2014/main" id="{14802E59-3E34-4C28-9E00-32462818C9E1}"/>
            </a:ext>
          </a:extLst>
        </xdr:cNvPr>
        <xdr:cNvSpPr/>
      </xdr:nvSpPr>
      <xdr:spPr>
        <a:xfrm>
          <a:off x="5915025" y="93973648"/>
          <a:ext cx="2486025" cy="6991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Attended by hospital leadership to educate and inform on the latest impacts to Hospital/Healthcare space - nationally and specifically in AZ -- see "Event Description"</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Sessions on Policy; AI; Finance; Reimbursement; Leadership and the political environment and its impact on healthcare. </a:t>
          </a:r>
        </a:p>
        <a:p>
          <a:pPr algn="l"/>
          <a:endParaRPr lang="en-US" sz="1100" b="0" i="0">
            <a:solidFill>
              <a:schemeClr val="lt1"/>
            </a:solidFill>
            <a:effectLst/>
            <a:latin typeface="+mn-lt"/>
            <a:ea typeface="+mn-ea"/>
            <a:cs typeface="+mn-cs"/>
          </a:endParaRPr>
        </a:p>
        <a:p>
          <a:pPr algn="l"/>
          <a:r>
            <a:rPr lang="en-US" sz="1100" b="0" i="0">
              <a:solidFill>
                <a:schemeClr val="lt1"/>
              </a:solidFill>
              <a:effectLst/>
              <a:latin typeface="+mn-lt"/>
              <a:ea typeface="+mn-ea"/>
              <a:cs typeface="+mn-cs"/>
            </a:rPr>
            <a:t>This educational event is dedicated to supporting a vibrant healthcare delivery system, including a robust network of acute care, critical access, specialty, behavioral health and post-acute care hospitals.</a:t>
          </a:r>
        </a:p>
        <a:p>
          <a:pPr algn="l"/>
          <a:endParaRPr lang="en-US" sz="1100" b="0" i="0" u="none">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Lowes Ventana Canyon Resort in Tucson, AZ</a:t>
          </a:r>
          <a:endParaRPr lang="en-US" sz="1100" b="0" i="0" baseline="0">
            <a:solidFill>
              <a:schemeClr val="lt1"/>
            </a:solidFill>
            <a:effectLst/>
            <a:latin typeface="+mn-lt"/>
            <a:ea typeface="+mn-ea"/>
            <a:cs typeface="+mn-cs"/>
          </a:endParaRPr>
        </a:p>
        <a:p>
          <a:pPr algn="l"/>
          <a:endParaRPr lang="en-US" sz="1100" b="0" i="0" baseline="0">
            <a:solidFill>
              <a:schemeClr val="lt1"/>
            </a:solidFill>
            <a:effectLst/>
            <a:latin typeface="+mn-lt"/>
            <a:ea typeface="+mn-ea"/>
            <a:cs typeface="+mn-cs"/>
          </a:endParaRPr>
        </a:p>
        <a:p>
          <a:pPr algn="l"/>
          <a:r>
            <a:rPr lang="en-US" sz="1100" b="1" i="0" baseline="0">
              <a:solidFill>
                <a:schemeClr val="lt1"/>
              </a:solidFill>
              <a:effectLst/>
              <a:latin typeface="+mn-lt"/>
              <a:ea typeface="+mn-ea"/>
              <a:cs typeface="+mn-cs"/>
            </a:rPr>
            <a:t>Additional Information: </a:t>
          </a:r>
        </a:p>
        <a:p>
          <a:pPr algn="l"/>
          <a:r>
            <a:rPr lang="en-US" sz="1100" b="0" i="0" baseline="0">
              <a:solidFill>
                <a:schemeClr val="lt1"/>
              </a:solidFill>
              <a:effectLst/>
              <a:latin typeface="+mn-lt"/>
              <a:ea typeface="+mn-ea"/>
              <a:cs typeface="+mn-cs"/>
            </a:rPr>
            <a:t>2 staff members will be attending</a:t>
          </a:r>
        </a:p>
        <a:p>
          <a:pPr algn="l"/>
          <a:endParaRPr lang="en-US" sz="1100" b="0" i="0" baseline="0">
            <a:solidFill>
              <a:schemeClr val="lt1"/>
            </a:solidFill>
            <a:effectLst/>
            <a:latin typeface="+mn-lt"/>
            <a:ea typeface="+mn-ea"/>
            <a:cs typeface="+mn-cs"/>
          </a:endParaRPr>
        </a:p>
      </xdr:txBody>
    </xdr:sp>
    <xdr:clientData/>
  </xdr:twoCellAnchor>
  <xdr:twoCellAnchor>
    <xdr:from>
      <xdr:col>0</xdr:col>
      <xdr:colOff>123825</xdr:colOff>
      <xdr:row>502</xdr:row>
      <xdr:rowOff>85725</xdr:rowOff>
    </xdr:from>
    <xdr:to>
      <xdr:col>4</xdr:col>
      <xdr:colOff>95250</xdr:colOff>
      <xdr:row>505</xdr:row>
      <xdr:rowOff>114300</xdr:rowOff>
    </xdr:to>
    <xdr:sp macro="" textlink="">
      <xdr:nvSpPr>
        <xdr:cNvPr id="1161" name="Rectangle 1160">
          <a:extLst>
            <a:ext uri="{FF2B5EF4-FFF2-40B4-BE49-F238E27FC236}">
              <a16:creationId xmlns:a16="http://schemas.microsoft.com/office/drawing/2014/main" id="{FB3C49AB-6E58-4B31-98CB-669227E37AD3}"/>
            </a:ext>
          </a:extLst>
        </xdr:cNvPr>
        <xdr:cNvSpPr/>
      </xdr:nvSpPr>
      <xdr:spPr>
        <a:xfrm>
          <a:off x="123825" y="89668350"/>
          <a:ext cx="2409825" cy="6000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rPr>
            <a:t>Lodging, registration,</a:t>
          </a:r>
          <a:r>
            <a:rPr lang="en-US" baseline="0">
              <a:solidFill>
                <a:schemeClr val="bg1"/>
              </a:solidFill>
            </a:rPr>
            <a:t> travel (gas)</a:t>
          </a:r>
          <a:endParaRPr lang="en-US" sz="1100">
            <a:solidFill>
              <a:schemeClr val="bg1"/>
            </a:solidFill>
          </a:endParaRPr>
        </a:p>
      </xdr:txBody>
    </xdr:sp>
    <xdr:clientData/>
  </xdr:twoCellAnchor>
  <xdr:twoCellAnchor>
    <xdr:from>
      <xdr:col>5</xdr:col>
      <xdr:colOff>0</xdr:colOff>
      <xdr:row>499</xdr:row>
      <xdr:rowOff>19050</xdr:rowOff>
    </xdr:from>
    <xdr:to>
      <xdr:col>9</xdr:col>
      <xdr:colOff>238125</xdr:colOff>
      <xdr:row>507</xdr:row>
      <xdr:rowOff>171450</xdr:rowOff>
    </xdr:to>
    <xdr:sp macro="" textlink="">
      <xdr:nvSpPr>
        <xdr:cNvPr id="1162" name="Rectangle 1161">
          <a:extLst>
            <a:ext uri="{FF2B5EF4-FFF2-40B4-BE49-F238E27FC236}">
              <a16:creationId xmlns:a16="http://schemas.microsoft.com/office/drawing/2014/main" id="{F4D7B158-7006-4F7E-91A8-9B8CDAAA1217}"/>
            </a:ext>
          </a:extLst>
        </xdr:cNvPr>
        <xdr:cNvSpPr/>
      </xdr:nvSpPr>
      <xdr:spPr>
        <a:xfrm>
          <a:off x="3048000" y="89030175"/>
          <a:ext cx="2676525" cy="1676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Hospital Leadership</a:t>
          </a:r>
        </a:p>
      </xdr:txBody>
    </xdr:sp>
    <xdr:clientData/>
  </xdr:twoCellAnchor>
  <xdr:twoCellAnchor>
    <xdr:from>
      <xdr:col>0</xdr:col>
      <xdr:colOff>104775</xdr:colOff>
      <xdr:row>507</xdr:row>
      <xdr:rowOff>123825</xdr:rowOff>
    </xdr:from>
    <xdr:to>
      <xdr:col>4</xdr:col>
      <xdr:colOff>76200</xdr:colOff>
      <xdr:row>510</xdr:row>
      <xdr:rowOff>19050</xdr:rowOff>
    </xdr:to>
    <xdr:sp macro="" textlink="">
      <xdr:nvSpPr>
        <xdr:cNvPr id="1163" name="Rectangle 1162">
          <a:extLst>
            <a:ext uri="{FF2B5EF4-FFF2-40B4-BE49-F238E27FC236}">
              <a16:creationId xmlns:a16="http://schemas.microsoft.com/office/drawing/2014/main" id="{CB10CFF7-8170-4340-9700-38C9BF23D4F9}"/>
            </a:ext>
          </a:extLst>
        </xdr:cNvPr>
        <xdr:cNvSpPr/>
      </xdr:nvSpPr>
      <xdr:spPr>
        <a:xfrm>
          <a:off x="104775" y="90658950"/>
          <a:ext cx="2409825" cy="4667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All AZ; Aleca, Alante, Sante</a:t>
          </a:r>
          <a:endParaRPr lang="en-US" sz="1100"/>
        </a:p>
      </xdr:txBody>
    </xdr:sp>
    <xdr:clientData/>
  </xdr:twoCellAnchor>
  <xdr:twoCellAnchor>
    <xdr:from>
      <xdr:col>0</xdr:col>
      <xdr:colOff>104775</xdr:colOff>
      <xdr:row>512</xdr:row>
      <xdr:rowOff>76200</xdr:rowOff>
    </xdr:from>
    <xdr:to>
      <xdr:col>4</xdr:col>
      <xdr:colOff>95250</xdr:colOff>
      <xdr:row>515</xdr:row>
      <xdr:rowOff>9525</xdr:rowOff>
    </xdr:to>
    <xdr:sp macro="" textlink="">
      <xdr:nvSpPr>
        <xdr:cNvPr id="1164" name="Rectangle 1163">
          <a:hlinkClick xmlns:r="http://schemas.openxmlformats.org/officeDocument/2006/relationships" r:id="rId15"/>
          <a:extLst>
            <a:ext uri="{FF2B5EF4-FFF2-40B4-BE49-F238E27FC236}">
              <a16:creationId xmlns:a16="http://schemas.microsoft.com/office/drawing/2014/main" id="{4109F352-644B-4BAC-B256-E99231B0B413}"/>
            </a:ext>
          </a:extLst>
        </xdr:cNvPr>
        <xdr:cNvSpPr/>
      </xdr:nvSpPr>
      <xdr:spPr>
        <a:xfrm>
          <a:off x="104775" y="100345875"/>
          <a:ext cx="2428875" cy="5048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HOME - 2024 Arizona Hospital Leadership Conference</a:t>
          </a:r>
          <a:endParaRPr lang="en-US" sz="1100">
            <a:solidFill>
              <a:schemeClr val="bg1"/>
            </a:solidFill>
          </a:endParaRPr>
        </a:p>
      </xdr:txBody>
    </xdr:sp>
    <xdr:clientData/>
  </xdr:twoCellAnchor>
  <xdr:twoCellAnchor>
    <xdr:from>
      <xdr:col>10</xdr:col>
      <xdr:colOff>57150</xdr:colOff>
      <xdr:row>474</xdr:row>
      <xdr:rowOff>9525</xdr:rowOff>
    </xdr:from>
    <xdr:to>
      <xdr:col>13</xdr:col>
      <xdr:colOff>552450</xdr:colOff>
      <xdr:row>477</xdr:row>
      <xdr:rowOff>104774</xdr:rowOff>
    </xdr:to>
    <xdr:sp macro="" textlink="">
      <xdr:nvSpPr>
        <xdr:cNvPr id="1165" name="Rectangle 1164">
          <a:extLst>
            <a:ext uri="{FF2B5EF4-FFF2-40B4-BE49-F238E27FC236}">
              <a16:creationId xmlns:a16="http://schemas.microsoft.com/office/drawing/2014/main" id="{CBC5F22F-FCE0-4069-8E47-BC724D8103F1}"/>
            </a:ext>
          </a:extLst>
        </xdr:cNvPr>
        <xdr:cNvSpPr/>
      </xdr:nvSpPr>
      <xdr:spPr>
        <a:xfrm>
          <a:off x="6153150" y="84210525"/>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Pending Approval...</a:t>
          </a:r>
        </a:p>
      </xdr:txBody>
    </xdr:sp>
    <xdr:clientData/>
  </xdr:twoCellAnchor>
  <xdr:twoCellAnchor>
    <xdr:from>
      <xdr:col>0</xdr:col>
      <xdr:colOff>685801</xdr:colOff>
      <xdr:row>0</xdr:row>
      <xdr:rowOff>66675</xdr:rowOff>
    </xdr:from>
    <xdr:to>
      <xdr:col>0</xdr:col>
      <xdr:colOff>1085851</xdr:colOff>
      <xdr:row>0</xdr:row>
      <xdr:rowOff>342900</xdr:rowOff>
    </xdr:to>
    <xdr:sp macro="" textlink="">
      <xdr:nvSpPr>
        <xdr:cNvPr id="1188" name="Rectangle: Rounded Corners 1187">
          <a:hlinkClick xmlns:r="http://schemas.openxmlformats.org/officeDocument/2006/relationships" r:id="rId16"/>
          <a:extLst>
            <a:ext uri="{FF2B5EF4-FFF2-40B4-BE49-F238E27FC236}">
              <a16:creationId xmlns:a16="http://schemas.microsoft.com/office/drawing/2014/main" id="{6A9D8DDD-0D11-4648-B3EF-B60F16C2713B}"/>
            </a:ext>
          </a:extLst>
        </xdr:cNvPr>
        <xdr:cNvSpPr/>
      </xdr:nvSpPr>
      <xdr:spPr>
        <a:xfrm>
          <a:off x="685801" y="666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1190" name="Rectangle: Rounded Corners 1189">
          <a:hlinkClick xmlns:r="http://schemas.openxmlformats.org/officeDocument/2006/relationships" r:id="rId17"/>
          <a:extLst>
            <a:ext uri="{FF2B5EF4-FFF2-40B4-BE49-F238E27FC236}">
              <a16:creationId xmlns:a16="http://schemas.microsoft.com/office/drawing/2014/main" id="{A50C96C4-5C4F-4939-BE5E-49C9C5064108}"/>
            </a:ext>
          </a:extLst>
        </xdr:cNvPr>
        <xdr:cNvSpPr/>
      </xdr:nvSpPr>
      <xdr:spPr>
        <a:xfrm>
          <a:off x="1123950" y="762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1193" name="Rectangle: Rounded Corners 1192">
          <a:hlinkClick xmlns:r="http://schemas.openxmlformats.org/officeDocument/2006/relationships" r:id="rId18"/>
          <a:extLst>
            <a:ext uri="{FF2B5EF4-FFF2-40B4-BE49-F238E27FC236}">
              <a16:creationId xmlns:a16="http://schemas.microsoft.com/office/drawing/2014/main" id="{5AD1DE90-107E-42A6-A70C-EF51FF4F2C66}"/>
            </a:ext>
          </a:extLst>
        </xdr:cNvPr>
        <xdr:cNvSpPr/>
      </xdr:nvSpPr>
      <xdr:spPr>
        <a:xfrm>
          <a:off x="2552701"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1194" name="Rectangle: Rounded Corners 1193">
          <a:hlinkClick xmlns:r="http://schemas.openxmlformats.org/officeDocument/2006/relationships" r:id="rId19"/>
          <a:extLst>
            <a:ext uri="{FF2B5EF4-FFF2-40B4-BE49-F238E27FC236}">
              <a16:creationId xmlns:a16="http://schemas.microsoft.com/office/drawing/2014/main" id="{9E599BAA-CE18-441E-A7AB-1CDB16BB25B5}"/>
            </a:ext>
          </a:extLst>
        </xdr:cNvPr>
        <xdr:cNvSpPr/>
      </xdr:nvSpPr>
      <xdr:spPr>
        <a:xfrm>
          <a:off x="3019426" y="10477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1197" name="Rectangle: Rounded Corners 1196">
          <a:hlinkClick xmlns:r="http://schemas.openxmlformats.org/officeDocument/2006/relationships" r:id="rId20"/>
          <a:extLst>
            <a:ext uri="{FF2B5EF4-FFF2-40B4-BE49-F238E27FC236}">
              <a16:creationId xmlns:a16="http://schemas.microsoft.com/office/drawing/2014/main" id="{6FDB50F2-C1F2-48B0-8E6F-325060FADACF}"/>
            </a:ext>
          </a:extLst>
        </xdr:cNvPr>
        <xdr:cNvSpPr/>
      </xdr:nvSpPr>
      <xdr:spPr>
        <a:xfrm>
          <a:off x="4429124"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1198" name="Rectangle: Rounded Corners 1197">
          <a:hlinkClick xmlns:r="http://schemas.openxmlformats.org/officeDocument/2006/relationships" r:id="rId21"/>
          <a:extLst>
            <a:ext uri="{FF2B5EF4-FFF2-40B4-BE49-F238E27FC236}">
              <a16:creationId xmlns:a16="http://schemas.microsoft.com/office/drawing/2014/main" id="{5D84B0F4-60A8-47DE-8B88-16273AF039B2}"/>
            </a:ext>
          </a:extLst>
        </xdr:cNvPr>
        <xdr:cNvSpPr/>
      </xdr:nvSpPr>
      <xdr:spPr>
        <a:xfrm>
          <a:off x="4895850" y="95250"/>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1201" name="Rectangle: Rounded Corners 1200">
          <a:hlinkClick xmlns:r="http://schemas.openxmlformats.org/officeDocument/2006/relationships" r:id="rId22"/>
          <a:extLst>
            <a:ext uri="{FF2B5EF4-FFF2-40B4-BE49-F238E27FC236}">
              <a16:creationId xmlns:a16="http://schemas.microsoft.com/office/drawing/2014/main" id="{2C7E53E0-D9FD-462E-B353-18E20803006D}"/>
            </a:ext>
          </a:extLst>
        </xdr:cNvPr>
        <xdr:cNvSpPr/>
      </xdr:nvSpPr>
      <xdr:spPr>
        <a:xfrm>
          <a:off x="6391275" y="9525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1204" name="Rectangle: Rounded Corners 1203">
          <a:hlinkClick xmlns:r="http://schemas.openxmlformats.org/officeDocument/2006/relationships" r:id="rId23"/>
          <a:extLst>
            <a:ext uri="{FF2B5EF4-FFF2-40B4-BE49-F238E27FC236}">
              <a16:creationId xmlns:a16="http://schemas.microsoft.com/office/drawing/2014/main" id="{5F26F0B3-2D12-44F2-A963-2D37D4D86040}"/>
            </a:ext>
          </a:extLst>
        </xdr:cNvPr>
        <xdr:cNvSpPr/>
      </xdr:nvSpPr>
      <xdr:spPr>
        <a:xfrm>
          <a:off x="8334375" y="104775"/>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0</xdr:col>
      <xdr:colOff>590550</xdr:colOff>
      <xdr:row>0</xdr:row>
      <xdr:rowOff>0</xdr:rowOff>
    </xdr:from>
    <xdr:to>
      <xdr:col>1</xdr:col>
      <xdr:colOff>381000</xdr:colOff>
      <xdr:row>0</xdr:row>
      <xdr:rowOff>276225</xdr:rowOff>
    </xdr:to>
    <xdr:sp macro="" textlink="">
      <xdr:nvSpPr>
        <xdr:cNvPr id="1224" name="Rectangle: Rounded Corners 1223">
          <a:hlinkClick xmlns:r="http://schemas.openxmlformats.org/officeDocument/2006/relationships" r:id="rId16"/>
          <a:extLst>
            <a:ext uri="{FF2B5EF4-FFF2-40B4-BE49-F238E27FC236}">
              <a16:creationId xmlns:a16="http://schemas.microsoft.com/office/drawing/2014/main" id="{65467C62-00F9-40F3-A7D5-88201E3C5694}"/>
            </a:ext>
          </a:extLst>
        </xdr:cNvPr>
        <xdr:cNvSpPr/>
      </xdr:nvSpPr>
      <xdr:spPr>
        <a:xfrm>
          <a:off x="590550" y="0"/>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28575</xdr:colOff>
      <xdr:row>0</xdr:row>
      <xdr:rowOff>28575</xdr:rowOff>
    </xdr:from>
    <xdr:to>
      <xdr:col>0</xdr:col>
      <xdr:colOff>581024</xdr:colOff>
      <xdr:row>0</xdr:row>
      <xdr:rowOff>304800</xdr:rowOff>
    </xdr:to>
    <xdr:sp macro="" textlink="">
      <xdr:nvSpPr>
        <xdr:cNvPr id="1225" name="Rectangle: Rounded Corners 1224">
          <a:hlinkClick xmlns:r="http://schemas.openxmlformats.org/officeDocument/2006/relationships" r:id="rId24"/>
          <a:extLst>
            <a:ext uri="{FF2B5EF4-FFF2-40B4-BE49-F238E27FC236}">
              <a16:creationId xmlns:a16="http://schemas.microsoft.com/office/drawing/2014/main" id="{E9D36BC5-361F-457D-A962-C03FE39A591B}"/>
            </a:ext>
          </a:extLst>
        </xdr:cNvPr>
        <xdr:cNvSpPr/>
      </xdr:nvSpPr>
      <xdr:spPr>
        <a:xfrm>
          <a:off x="28575" y="2857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1</xdr:col>
      <xdr:colOff>419099</xdr:colOff>
      <xdr:row>0</xdr:row>
      <xdr:rowOff>9525</xdr:rowOff>
    </xdr:from>
    <xdr:to>
      <xdr:col>2</xdr:col>
      <xdr:colOff>238124</xdr:colOff>
      <xdr:row>0</xdr:row>
      <xdr:rowOff>285750</xdr:rowOff>
    </xdr:to>
    <xdr:sp macro="" textlink="">
      <xdr:nvSpPr>
        <xdr:cNvPr id="1226" name="Rectangle: Rounded Corners 1225">
          <a:hlinkClick xmlns:r="http://schemas.openxmlformats.org/officeDocument/2006/relationships" r:id="rId17"/>
          <a:extLst>
            <a:ext uri="{FF2B5EF4-FFF2-40B4-BE49-F238E27FC236}">
              <a16:creationId xmlns:a16="http://schemas.microsoft.com/office/drawing/2014/main" id="{395D4A31-5D9B-4B97-BAC9-431984BA1E53}"/>
            </a:ext>
          </a:extLst>
        </xdr:cNvPr>
        <xdr:cNvSpPr/>
      </xdr:nvSpPr>
      <xdr:spPr>
        <a:xfrm>
          <a:off x="1028699" y="95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2</xdr:col>
      <xdr:colOff>285749</xdr:colOff>
      <xdr:row>0</xdr:row>
      <xdr:rowOff>9525</xdr:rowOff>
    </xdr:from>
    <xdr:to>
      <xdr:col>3</xdr:col>
      <xdr:colOff>123824</xdr:colOff>
      <xdr:row>0</xdr:row>
      <xdr:rowOff>285750</xdr:rowOff>
    </xdr:to>
    <xdr:sp macro="" textlink="">
      <xdr:nvSpPr>
        <xdr:cNvPr id="1227" name="Rectangle: Rounded Corners 1226">
          <a:hlinkClick xmlns:r="http://schemas.openxmlformats.org/officeDocument/2006/relationships" r:id="rId25"/>
          <a:extLst>
            <a:ext uri="{FF2B5EF4-FFF2-40B4-BE49-F238E27FC236}">
              <a16:creationId xmlns:a16="http://schemas.microsoft.com/office/drawing/2014/main" id="{3C08C73C-8DCB-4C31-928D-0A04A833CF5A}"/>
            </a:ext>
          </a:extLst>
        </xdr:cNvPr>
        <xdr:cNvSpPr/>
      </xdr:nvSpPr>
      <xdr:spPr>
        <a:xfrm>
          <a:off x="1504949" y="9525"/>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3</xdr:col>
      <xdr:colOff>171449</xdr:colOff>
      <xdr:row>0</xdr:row>
      <xdr:rowOff>19050</xdr:rowOff>
    </xdr:from>
    <xdr:to>
      <xdr:col>3</xdr:col>
      <xdr:colOff>581024</xdr:colOff>
      <xdr:row>0</xdr:row>
      <xdr:rowOff>295275</xdr:rowOff>
    </xdr:to>
    <xdr:sp macro="" textlink="">
      <xdr:nvSpPr>
        <xdr:cNvPr id="1228" name="Rectangle: Rounded Corners 1227">
          <a:hlinkClick xmlns:r="http://schemas.openxmlformats.org/officeDocument/2006/relationships" r:id="rId26"/>
          <a:extLst>
            <a:ext uri="{FF2B5EF4-FFF2-40B4-BE49-F238E27FC236}">
              <a16:creationId xmlns:a16="http://schemas.microsoft.com/office/drawing/2014/main" id="{738AE498-9923-49AB-9972-7E4BA91354C8}"/>
            </a:ext>
          </a:extLst>
        </xdr:cNvPr>
        <xdr:cNvSpPr/>
      </xdr:nvSpPr>
      <xdr:spPr>
        <a:xfrm>
          <a:off x="2000249" y="19050"/>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4</xdr:col>
      <xdr:colOff>19050</xdr:colOff>
      <xdr:row>0</xdr:row>
      <xdr:rowOff>28575</xdr:rowOff>
    </xdr:from>
    <xdr:to>
      <xdr:col>4</xdr:col>
      <xdr:colOff>457200</xdr:colOff>
      <xdr:row>0</xdr:row>
      <xdr:rowOff>304800</xdr:rowOff>
    </xdr:to>
    <xdr:sp macro="" textlink="">
      <xdr:nvSpPr>
        <xdr:cNvPr id="1229" name="Rectangle: Rounded Corners 1228">
          <a:hlinkClick xmlns:r="http://schemas.openxmlformats.org/officeDocument/2006/relationships" r:id="rId18"/>
          <a:extLst>
            <a:ext uri="{FF2B5EF4-FFF2-40B4-BE49-F238E27FC236}">
              <a16:creationId xmlns:a16="http://schemas.microsoft.com/office/drawing/2014/main" id="{FF337CD9-5A28-4855-8321-002EA97BC12B}"/>
            </a:ext>
          </a:extLst>
        </xdr:cNvPr>
        <xdr:cNvSpPr/>
      </xdr:nvSpPr>
      <xdr:spPr>
        <a:xfrm>
          <a:off x="2457450" y="28575"/>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4</xdr:col>
      <xdr:colOff>485775</xdr:colOff>
      <xdr:row>0</xdr:row>
      <xdr:rowOff>38100</xdr:rowOff>
    </xdr:from>
    <xdr:to>
      <xdr:col>5</xdr:col>
      <xdr:colOff>276225</xdr:colOff>
      <xdr:row>0</xdr:row>
      <xdr:rowOff>314325</xdr:rowOff>
    </xdr:to>
    <xdr:sp macro="" textlink="">
      <xdr:nvSpPr>
        <xdr:cNvPr id="1230" name="Rectangle: Rounded Corners 1229">
          <a:hlinkClick xmlns:r="http://schemas.openxmlformats.org/officeDocument/2006/relationships" r:id="rId19"/>
          <a:extLst>
            <a:ext uri="{FF2B5EF4-FFF2-40B4-BE49-F238E27FC236}">
              <a16:creationId xmlns:a16="http://schemas.microsoft.com/office/drawing/2014/main" id="{65216EE9-2FAD-4D5A-8248-2FAB1E8C3E44}"/>
            </a:ext>
          </a:extLst>
        </xdr:cNvPr>
        <xdr:cNvSpPr/>
      </xdr:nvSpPr>
      <xdr:spPr>
        <a:xfrm>
          <a:off x="2924175" y="38100"/>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5</xdr:col>
      <xdr:colOff>314324</xdr:colOff>
      <xdr:row>0</xdr:row>
      <xdr:rowOff>28575</xdr:rowOff>
    </xdr:from>
    <xdr:to>
      <xdr:col>6</xdr:col>
      <xdr:colOff>133349</xdr:colOff>
      <xdr:row>0</xdr:row>
      <xdr:rowOff>304800</xdr:rowOff>
    </xdr:to>
    <xdr:sp macro="" textlink="">
      <xdr:nvSpPr>
        <xdr:cNvPr id="1231" name="Rectangle: Rounded Corners 1230">
          <a:hlinkClick xmlns:r="http://schemas.openxmlformats.org/officeDocument/2006/relationships" r:id="rId27"/>
          <a:extLst>
            <a:ext uri="{FF2B5EF4-FFF2-40B4-BE49-F238E27FC236}">
              <a16:creationId xmlns:a16="http://schemas.microsoft.com/office/drawing/2014/main" id="{4B360FC1-6849-433F-9D35-38D423EC55EE}"/>
            </a:ext>
          </a:extLst>
        </xdr:cNvPr>
        <xdr:cNvSpPr/>
      </xdr:nvSpPr>
      <xdr:spPr>
        <a:xfrm>
          <a:off x="3362324" y="285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6</xdr:col>
      <xdr:colOff>180974</xdr:colOff>
      <xdr:row>0</xdr:row>
      <xdr:rowOff>28575</xdr:rowOff>
    </xdr:from>
    <xdr:to>
      <xdr:col>7</xdr:col>
      <xdr:colOff>28574</xdr:colOff>
      <xdr:row>0</xdr:row>
      <xdr:rowOff>304800</xdr:rowOff>
    </xdr:to>
    <xdr:sp macro="" textlink="">
      <xdr:nvSpPr>
        <xdr:cNvPr id="1232" name="Rectangle: Rounded Corners 1231">
          <a:hlinkClick xmlns:r="http://schemas.openxmlformats.org/officeDocument/2006/relationships" r:id="rId28"/>
          <a:extLst>
            <a:ext uri="{FF2B5EF4-FFF2-40B4-BE49-F238E27FC236}">
              <a16:creationId xmlns:a16="http://schemas.microsoft.com/office/drawing/2014/main" id="{561E1E45-7341-44B7-AC92-BF313BE6D416}"/>
            </a:ext>
          </a:extLst>
        </xdr:cNvPr>
        <xdr:cNvSpPr/>
      </xdr:nvSpPr>
      <xdr:spPr>
        <a:xfrm>
          <a:off x="3838574" y="28575"/>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7</xdr:col>
      <xdr:colOff>66673</xdr:colOff>
      <xdr:row>0</xdr:row>
      <xdr:rowOff>19050</xdr:rowOff>
    </xdr:from>
    <xdr:to>
      <xdr:col>7</xdr:col>
      <xdr:colOff>495298</xdr:colOff>
      <xdr:row>0</xdr:row>
      <xdr:rowOff>295275</xdr:rowOff>
    </xdr:to>
    <xdr:sp macro="" textlink="">
      <xdr:nvSpPr>
        <xdr:cNvPr id="1233" name="Rectangle: Rounded Corners 1232">
          <a:hlinkClick xmlns:r="http://schemas.openxmlformats.org/officeDocument/2006/relationships" r:id="rId20"/>
          <a:extLst>
            <a:ext uri="{FF2B5EF4-FFF2-40B4-BE49-F238E27FC236}">
              <a16:creationId xmlns:a16="http://schemas.microsoft.com/office/drawing/2014/main" id="{03592D60-6602-47BC-96FE-AABD8CEE81BB}"/>
            </a:ext>
          </a:extLst>
        </xdr:cNvPr>
        <xdr:cNvSpPr/>
      </xdr:nvSpPr>
      <xdr:spPr>
        <a:xfrm>
          <a:off x="4333873" y="190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7</xdr:col>
      <xdr:colOff>533399</xdr:colOff>
      <xdr:row>0</xdr:row>
      <xdr:rowOff>28575</xdr:rowOff>
    </xdr:from>
    <xdr:to>
      <xdr:col>8</xdr:col>
      <xdr:colOff>352424</xdr:colOff>
      <xdr:row>0</xdr:row>
      <xdr:rowOff>314325</xdr:rowOff>
    </xdr:to>
    <xdr:sp macro="" textlink="">
      <xdr:nvSpPr>
        <xdr:cNvPr id="1234" name="Rectangle: Rounded Corners 1233">
          <a:hlinkClick xmlns:r="http://schemas.openxmlformats.org/officeDocument/2006/relationships" r:id="rId21"/>
          <a:extLst>
            <a:ext uri="{FF2B5EF4-FFF2-40B4-BE49-F238E27FC236}">
              <a16:creationId xmlns:a16="http://schemas.microsoft.com/office/drawing/2014/main" id="{35E0A20F-1CFC-41BA-B170-4BD9DF7441E6}"/>
            </a:ext>
          </a:extLst>
        </xdr:cNvPr>
        <xdr:cNvSpPr/>
      </xdr:nvSpPr>
      <xdr:spPr>
        <a:xfrm>
          <a:off x="4800599" y="28575"/>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8</xdr:col>
      <xdr:colOff>400049</xdr:colOff>
      <xdr:row>0</xdr:row>
      <xdr:rowOff>38100</xdr:rowOff>
    </xdr:from>
    <xdr:to>
      <xdr:col>9</xdr:col>
      <xdr:colOff>219074</xdr:colOff>
      <xdr:row>0</xdr:row>
      <xdr:rowOff>314325</xdr:rowOff>
    </xdr:to>
    <xdr:sp macro="" textlink="">
      <xdr:nvSpPr>
        <xdr:cNvPr id="1235" name="Rectangle: Rounded Corners 1234">
          <a:hlinkClick xmlns:r="http://schemas.openxmlformats.org/officeDocument/2006/relationships" r:id="rId29"/>
          <a:extLst>
            <a:ext uri="{FF2B5EF4-FFF2-40B4-BE49-F238E27FC236}">
              <a16:creationId xmlns:a16="http://schemas.microsoft.com/office/drawing/2014/main" id="{5CB3DCD1-FD0A-40D9-9102-1C1F1BCE23C3}"/>
            </a:ext>
          </a:extLst>
        </xdr:cNvPr>
        <xdr:cNvSpPr/>
      </xdr:nvSpPr>
      <xdr:spPr>
        <a:xfrm>
          <a:off x="5276849" y="381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9</xdr:col>
      <xdr:colOff>266699</xdr:colOff>
      <xdr:row>0</xdr:row>
      <xdr:rowOff>28575</xdr:rowOff>
    </xdr:from>
    <xdr:to>
      <xdr:col>10</xdr:col>
      <xdr:colOff>152399</xdr:colOff>
      <xdr:row>0</xdr:row>
      <xdr:rowOff>304800</xdr:rowOff>
    </xdr:to>
    <xdr:sp macro="" textlink="">
      <xdr:nvSpPr>
        <xdr:cNvPr id="1236" name="Rectangle: Rounded Corners 1235">
          <a:hlinkClick xmlns:r="http://schemas.openxmlformats.org/officeDocument/2006/relationships" r:id="rId30"/>
          <a:extLst>
            <a:ext uri="{FF2B5EF4-FFF2-40B4-BE49-F238E27FC236}">
              <a16:creationId xmlns:a16="http://schemas.microsoft.com/office/drawing/2014/main" id="{F2FFD4DD-EDB3-4D7F-8199-2FC2B3B38CE2}"/>
            </a:ext>
          </a:extLst>
        </xdr:cNvPr>
        <xdr:cNvSpPr/>
      </xdr:nvSpPr>
      <xdr:spPr>
        <a:xfrm>
          <a:off x="5753099" y="28575"/>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10</xdr:col>
      <xdr:colOff>200024</xdr:colOff>
      <xdr:row>0</xdr:row>
      <xdr:rowOff>28575</xdr:rowOff>
    </xdr:from>
    <xdr:to>
      <xdr:col>11</xdr:col>
      <xdr:colOff>228599</xdr:colOff>
      <xdr:row>0</xdr:row>
      <xdr:rowOff>304800</xdr:rowOff>
    </xdr:to>
    <xdr:sp macro="" textlink="">
      <xdr:nvSpPr>
        <xdr:cNvPr id="1237" name="Rectangle: Rounded Corners 1236">
          <a:hlinkClick xmlns:r="http://schemas.openxmlformats.org/officeDocument/2006/relationships" r:id="rId22"/>
          <a:extLst>
            <a:ext uri="{FF2B5EF4-FFF2-40B4-BE49-F238E27FC236}">
              <a16:creationId xmlns:a16="http://schemas.microsoft.com/office/drawing/2014/main" id="{25D1DE20-2862-4F70-9D18-3FE0C3A031FA}"/>
            </a:ext>
          </a:extLst>
        </xdr:cNvPr>
        <xdr:cNvSpPr/>
      </xdr:nvSpPr>
      <xdr:spPr>
        <a:xfrm>
          <a:off x="6296024" y="28575"/>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11</xdr:col>
      <xdr:colOff>276224</xdr:colOff>
      <xdr:row>0</xdr:row>
      <xdr:rowOff>28575</xdr:rowOff>
    </xdr:from>
    <xdr:to>
      <xdr:col>12</xdr:col>
      <xdr:colOff>257174</xdr:colOff>
      <xdr:row>0</xdr:row>
      <xdr:rowOff>304800</xdr:rowOff>
    </xdr:to>
    <xdr:sp macro="" textlink="">
      <xdr:nvSpPr>
        <xdr:cNvPr id="1238" name="Rectangle: Rounded Corners 1237">
          <a:hlinkClick xmlns:r="http://schemas.openxmlformats.org/officeDocument/2006/relationships" r:id="rId31"/>
          <a:extLst>
            <a:ext uri="{FF2B5EF4-FFF2-40B4-BE49-F238E27FC236}">
              <a16:creationId xmlns:a16="http://schemas.microsoft.com/office/drawing/2014/main" id="{66FB76BE-C8B3-4267-A431-0E3C33903FB7}"/>
            </a:ext>
          </a:extLst>
        </xdr:cNvPr>
        <xdr:cNvSpPr/>
      </xdr:nvSpPr>
      <xdr:spPr>
        <a:xfrm>
          <a:off x="6981824" y="28575"/>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12</xdr:col>
      <xdr:colOff>295274</xdr:colOff>
      <xdr:row>0</xdr:row>
      <xdr:rowOff>38100</xdr:rowOff>
    </xdr:from>
    <xdr:to>
      <xdr:col>13</xdr:col>
      <xdr:colOff>276224</xdr:colOff>
      <xdr:row>0</xdr:row>
      <xdr:rowOff>314325</xdr:rowOff>
    </xdr:to>
    <xdr:sp macro="" textlink="">
      <xdr:nvSpPr>
        <xdr:cNvPr id="1239" name="Rectangle: Rounded Corners 1238">
          <a:hlinkClick xmlns:r="http://schemas.openxmlformats.org/officeDocument/2006/relationships" r:id="rId32"/>
          <a:extLst>
            <a:ext uri="{FF2B5EF4-FFF2-40B4-BE49-F238E27FC236}">
              <a16:creationId xmlns:a16="http://schemas.microsoft.com/office/drawing/2014/main" id="{8BF7A023-E104-4A3F-BDCC-20793524DD0B}"/>
            </a:ext>
          </a:extLst>
        </xdr:cNvPr>
        <xdr:cNvSpPr/>
      </xdr:nvSpPr>
      <xdr:spPr>
        <a:xfrm>
          <a:off x="7610474" y="38100"/>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13</xdr:col>
      <xdr:colOff>314324</xdr:colOff>
      <xdr:row>0</xdr:row>
      <xdr:rowOff>38100</xdr:rowOff>
    </xdr:from>
    <xdr:to>
      <xdr:col>14</xdr:col>
      <xdr:colOff>295274</xdr:colOff>
      <xdr:row>0</xdr:row>
      <xdr:rowOff>314325</xdr:rowOff>
    </xdr:to>
    <xdr:sp macro="" textlink="">
      <xdr:nvSpPr>
        <xdr:cNvPr id="1240" name="Rectangle: Rounded Corners 1239">
          <a:hlinkClick xmlns:r="http://schemas.openxmlformats.org/officeDocument/2006/relationships" r:id="rId23"/>
          <a:extLst>
            <a:ext uri="{FF2B5EF4-FFF2-40B4-BE49-F238E27FC236}">
              <a16:creationId xmlns:a16="http://schemas.microsoft.com/office/drawing/2014/main" id="{6E0BFE43-D27D-4280-8B50-69A45FF1ED67}"/>
            </a:ext>
          </a:extLst>
        </xdr:cNvPr>
        <xdr:cNvSpPr/>
      </xdr:nvSpPr>
      <xdr:spPr>
        <a:xfrm>
          <a:off x="8239124" y="38100"/>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14</xdr:col>
      <xdr:colOff>333373</xdr:colOff>
      <xdr:row>0</xdr:row>
      <xdr:rowOff>28575</xdr:rowOff>
    </xdr:from>
    <xdr:to>
      <xdr:col>15</xdr:col>
      <xdr:colOff>361948</xdr:colOff>
      <xdr:row>0</xdr:row>
      <xdr:rowOff>304800</xdr:rowOff>
    </xdr:to>
    <xdr:sp macro="" textlink="">
      <xdr:nvSpPr>
        <xdr:cNvPr id="1241" name="Rectangle: Rounded Corners 1240">
          <a:hlinkClick xmlns:r="http://schemas.openxmlformats.org/officeDocument/2006/relationships" r:id="rId33"/>
          <a:extLst>
            <a:ext uri="{FF2B5EF4-FFF2-40B4-BE49-F238E27FC236}">
              <a16:creationId xmlns:a16="http://schemas.microsoft.com/office/drawing/2014/main" id="{294131CE-5222-4128-B32F-034463DAE360}"/>
            </a:ext>
          </a:extLst>
        </xdr:cNvPr>
        <xdr:cNvSpPr/>
      </xdr:nvSpPr>
      <xdr:spPr>
        <a:xfrm>
          <a:off x="8867773" y="28575"/>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twoCellAnchor>
    <xdr:from>
      <xdr:col>0</xdr:col>
      <xdr:colOff>95250</xdr:colOff>
      <xdr:row>520</xdr:row>
      <xdr:rowOff>95250</xdr:rowOff>
    </xdr:from>
    <xdr:to>
      <xdr:col>0</xdr:col>
      <xdr:colOff>438150</xdr:colOff>
      <xdr:row>522</xdr:row>
      <xdr:rowOff>28575</xdr:rowOff>
    </xdr:to>
    <xdr:sp macro="" textlink="">
      <xdr:nvSpPr>
        <xdr:cNvPr id="19" name="Star: 5 Points 18">
          <a:extLst>
            <a:ext uri="{FF2B5EF4-FFF2-40B4-BE49-F238E27FC236}">
              <a16:creationId xmlns:a16="http://schemas.microsoft.com/office/drawing/2014/main" id="{27803009-519F-4C40-9D1A-EDF8AB850458}"/>
            </a:ext>
          </a:extLst>
        </xdr:cNvPr>
        <xdr:cNvSpPr/>
      </xdr:nvSpPr>
      <xdr:spPr>
        <a:xfrm>
          <a:off x="95250" y="932116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520</xdr:row>
      <xdr:rowOff>114300</xdr:rowOff>
    </xdr:from>
    <xdr:to>
      <xdr:col>1</xdr:col>
      <xdr:colOff>247650</xdr:colOff>
      <xdr:row>522</xdr:row>
      <xdr:rowOff>47625</xdr:rowOff>
    </xdr:to>
    <xdr:sp macro="" textlink="">
      <xdr:nvSpPr>
        <xdr:cNvPr id="20" name="Star: 5 Points 19">
          <a:extLst>
            <a:ext uri="{FF2B5EF4-FFF2-40B4-BE49-F238E27FC236}">
              <a16:creationId xmlns:a16="http://schemas.microsoft.com/office/drawing/2014/main" id="{C85EBB6D-410D-4BC7-820F-718C4E9577D0}"/>
            </a:ext>
          </a:extLst>
        </xdr:cNvPr>
        <xdr:cNvSpPr/>
      </xdr:nvSpPr>
      <xdr:spPr>
        <a:xfrm>
          <a:off x="514350" y="932307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520</xdr:row>
      <xdr:rowOff>114300</xdr:rowOff>
    </xdr:from>
    <xdr:to>
      <xdr:col>2</xdr:col>
      <xdr:colOff>76200</xdr:colOff>
      <xdr:row>522</xdr:row>
      <xdr:rowOff>47625</xdr:rowOff>
    </xdr:to>
    <xdr:sp macro="" textlink="">
      <xdr:nvSpPr>
        <xdr:cNvPr id="21" name="Star: 5 Points 20">
          <a:extLst>
            <a:ext uri="{FF2B5EF4-FFF2-40B4-BE49-F238E27FC236}">
              <a16:creationId xmlns:a16="http://schemas.microsoft.com/office/drawing/2014/main" id="{9158CF56-2D40-4585-BC26-25044B8DDF77}"/>
            </a:ext>
          </a:extLst>
        </xdr:cNvPr>
        <xdr:cNvSpPr/>
      </xdr:nvSpPr>
      <xdr:spPr>
        <a:xfrm>
          <a:off x="952500" y="932307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520</xdr:row>
      <xdr:rowOff>114300</xdr:rowOff>
    </xdr:from>
    <xdr:to>
      <xdr:col>2</xdr:col>
      <xdr:colOff>523875</xdr:colOff>
      <xdr:row>522</xdr:row>
      <xdr:rowOff>47625</xdr:rowOff>
    </xdr:to>
    <xdr:sp macro="" textlink="">
      <xdr:nvSpPr>
        <xdr:cNvPr id="22" name="Star: 5 Points 21">
          <a:extLst>
            <a:ext uri="{FF2B5EF4-FFF2-40B4-BE49-F238E27FC236}">
              <a16:creationId xmlns:a16="http://schemas.microsoft.com/office/drawing/2014/main" id="{071088AF-B75A-40F9-8B1E-B63D37ABFC6A}"/>
            </a:ext>
          </a:extLst>
        </xdr:cNvPr>
        <xdr:cNvSpPr/>
      </xdr:nvSpPr>
      <xdr:spPr>
        <a:xfrm>
          <a:off x="1400175" y="932307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520</xdr:row>
      <xdr:rowOff>123825</xdr:rowOff>
    </xdr:from>
    <xdr:to>
      <xdr:col>3</xdr:col>
      <xdr:colOff>342900</xdr:colOff>
      <xdr:row>522</xdr:row>
      <xdr:rowOff>57150</xdr:rowOff>
    </xdr:to>
    <xdr:sp macro="" textlink="">
      <xdr:nvSpPr>
        <xdr:cNvPr id="23" name="Star: 5 Points 22">
          <a:extLst>
            <a:ext uri="{FF2B5EF4-FFF2-40B4-BE49-F238E27FC236}">
              <a16:creationId xmlns:a16="http://schemas.microsoft.com/office/drawing/2014/main" id="{98564F62-F147-4F95-9792-FD58C66CB6D2}"/>
            </a:ext>
          </a:extLst>
        </xdr:cNvPr>
        <xdr:cNvSpPr/>
      </xdr:nvSpPr>
      <xdr:spPr>
        <a:xfrm>
          <a:off x="1828800" y="932402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524</xdr:row>
      <xdr:rowOff>57151</xdr:rowOff>
    </xdr:from>
    <xdr:to>
      <xdr:col>4</xdr:col>
      <xdr:colOff>57150</xdr:colOff>
      <xdr:row>528</xdr:row>
      <xdr:rowOff>9526</xdr:rowOff>
    </xdr:to>
    <xdr:sp macro="" textlink="">
      <xdr:nvSpPr>
        <xdr:cNvPr id="24" name="Rectangle 23">
          <a:extLst>
            <a:ext uri="{FF2B5EF4-FFF2-40B4-BE49-F238E27FC236}">
              <a16:creationId xmlns:a16="http://schemas.microsoft.com/office/drawing/2014/main" id="{EAE6C32B-5C1D-4C5D-AE33-290025A95606}"/>
            </a:ext>
          </a:extLst>
        </xdr:cNvPr>
        <xdr:cNvSpPr/>
      </xdr:nvSpPr>
      <xdr:spPr>
        <a:xfrm>
          <a:off x="85725" y="939450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530</xdr:row>
      <xdr:rowOff>76201</xdr:rowOff>
    </xdr:from>
    <xdr:to>
      <xdr:col>4</xdr:col>
      <xdr:colOff>57150</xdr:colOff>
      <xdr:row>534</xdr:row>
      <xdr:rowOff>38101</xdr:rowOff>
    </xdr:to>
    <xdr:sp macro="" textlink="">
      <xdr:nvSpPr>
        <xdr:cNvPr id="25" name="Rectangle 24">
          <a:extLst>
            <a:ext uri="{FF2B5EF4-FFF2-40B4-BE49-F238E27FC236}">
              <a16:creationId xmlns:a16="http://schemas.microsoft.com/office/drawing/2014/main" id="{3F2C3E65-0BFC-44E6-B1D0-FF3F5B4597D2}"/>
            </a:ext>
          </a:extLst>
        </xdr:cNvPr>
        <xdr:cNvSpPr/>
      </xdr:nvSpPr>
      <xdr:spPr>
        <a:xfrm>
          <a:off x="85725" y="951261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536</xdr:row>
      <xdr:rowOff>123825</xdr:rowOff>
    </xdr:from>
    <xdr:to>
      <xdr:col>4</xdr:col>
      <xdr:colOff>76200</xdr:colOff>
      <xdr:row>545</xdr:row>
      <xdr:rowOff>9525</xdr:rowOff>
    </xdr:to>
    <xdr:sp macro="" textlink="">
      <xdr:nvSpPr>
        <xdr:cNvPr id="26" name="Rectangle 25">
          <a:extLst>
            <a:ext uri="{FF2B5EF4-FFF2-40B4-BE49-F238E27FC236}">
              <a16:creationId xmlns:a16="http://schemas.microsoft.com/office/drawing/2014/main" id="{D51E2463-86D8-44A6-A212-10417CA5D229}"/>
            </a:ext>
          </a:extLst>
        </xdr:cNvPr>
        <xdr:cNvSpPr/>
      </xdr:nvSpPr>
      <xdr:spPr>
        <a:xfrm>
          <a:off x="104775" y="9632632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524</xdr:row>
      <xdr:rowOff>38100</xdr:rowOff>
    </xdr:from>
    <xdr:to>
      <xdr:col>8</xdr:col>
      <xdr:colOff>561975</xdr:colOff>
      <xdr:row>527</xdr:row>
      <xdr:rowOff>161925</xdr:rowOff>
    </xdr:to>
    <xdr:sp macro="" textlink="">
      <xdr:nvSpPr>
        <xdr:cNvPr id="27" name="Rectangle 26">
          <a:extLst>
            <a:ext uri="{FF2B5EF4-FFF2-40B4-BE49-F238E27FC236}">
              <a16:creationId xmlns:a16="http://schemas.microsoft.com/office/drawing/2014/main" id="{094D9684-148C-4721-943F-BD93F4D6C5D5}"/>
            </a:ext>
          </a:extLst>
        </xdr:cNvPr>
        <xdr:cNvSpPr/>
      </xdr:nvSpPr>
      <xdr:spPr>
        <a:xfrm>
          <a:off x="3028950" y="102708075"/>
          <a:ext cx="2409825" cy="7048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We are presenting sponsors</a:t>
          </a:r>
          <a:r>
            <a:rPr lang="en-US" sz="1100" baseline="0"/>
            <a:t> of the event. Great for getting our names out there</a:t>
          </a:r>
          <a:endParaRPr lang="en-US" sz="1100"/>
        </a:p>
      </xdr:txBody>
    </xdr:sp>
    <xdr:clientData/>
  </xdr:twoCellAnchor>
  <xdr:twoCellAnchor>
    <xdr:from>
      <xdr:col>4</xdr:col>
      <xdr:colOff>590550</xdr:colOff>
      <xdr:row>530</xdr:row>
      <xdr:rowOff>76201</xdr:rowOff>
    </xdr:from>
    <xdr:to>
      <xdr:col>8</xdr:col>
      <xdr:colOff>561975</xdr:colOff>
      <xdr:row>534</xdr:row>
      <xdr:rowOff>38101</xdr:rowOff>
    </xdr:to>
    <xdr:sp macro="" textlink="">
      <xdr:nvSpPr>
        <xdr:cNvPr id="28" name="Rectangle 27">
          <a:extLst>
            <a:ext uri="{FF2B5EF4-FFF2-40B4-BE49-F238E27FC236}">
              <a16:creationId xmlns:a16="http://schemas.microsoft.com/office/drawing/2014/main" id="{8200E05F-9381-4D5A-8505-F9895056F199}"/>
            </a:ext>
          </a:extLst>
        </xdr:cNvPr>
        <xdr:cNvSpPr/>
      </xdr:nvSpPr>
      <xdr:spPr>
        <a:xfrm>
          <a:off x="3028950" y="951261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536</xdr:row>
      <xdr:rowOff>104775</xdr:rowOff>
    </xdr:from>
    <xdr:to>
      <xdr:col>8</xdr:col>
      <xdr:colOff>561975</xdr:colOff>
      <xdr:row>538</xdr:row>
      <xdr:rowOff>171450</xdr:rowOff>
    </xdr:to>
    <xdr:sp macro="" textlink="">
      <xdr:nvSpPr>
        <xdr:cNvPr id="29" name="Rectangle 28">
          <a:extLst>
            <a:ext uri="{FF2B5EF4-FFF2-40B4-BE49-F238E27FC236}">
              <a16:creationId xmlns:a16="http://schemas.microsoft.com/office/drawing/2014/main" id="{064FCAE2-8F45-4D57-9CB2-71E7EF922171}"/>
            </a:ext>
          </a:extLst>
        </xdr:cNvPr>
        <xdr:cNvSpPr/>
      </xdr:nvSpPr>
      <xdr:spPr>
        <a:xfrm>
          <a:off x="3028950" y="96307275"/>
          <a:ext cx="2409825"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Kerri Cummiskey </a:t>
          </a:r>
        </a:p>
      </xdr:txBody>
    </xdr:sp>
    <xdr:clientData/>
  </xdr:twoCellAnchor>
  <xdr:twoCellAnchor>
    <xdr:from>
      <xdr:col>4</xdr:col>
      <xdr:colOff>581026</xdr:colOff>
      <xdr:row>540</xdr:row>
      <xdr:rowOff>104775</xdr:rowOff>
    </xdr:from>
    <xdr:to>
      <xdr:col>6</xdr:col>
      <xdr:colOff>95250</xdr:colOff>
      <xdr:row>542</xdr:row>
      <xdr:rowOff>57150</xdr:rowOff>
    </xdr:to>
    <xdr:sp macro="" textlink="">
      <xdr:nvSpPr>
        <xdr:cNvPr id="30" name="Rectangle 29">
          <a:extLst>
            <a:ext uri="{FF2B5EF4-FFF2-40B4-BE49-F238E27FC236}">
              <a16:creationId xmlns:a16="http://schemas.microsoft.com/office/drawing/2014/main" id="{63FB30E9-E050-4A80-B73E-84813DD8D8F4}"/>
            </a:ext>
          </a:extLst>
        </xdr:cNvPr>
        <xdr:cNvSpPr/>
      </xdr:nvSpPr>
      <xdr:spPr>
        <a:xfrm>
          <a:off x="3019426" y="97069275"/>
          <a:ext cx="733424"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a:p>
          <a:pPr algn="l"/>
          <a:endParaRPr lang="en-US" sz="1100"/>
        </a:p>
      </xdr:txBody>
    </xdr:sp>
    <xdr:clientData/>
  </xdr:twoCellAnchor>
  <xdr:twoCellAnchor>
    <xdr:from>
      <xdr:col>9</xdr:col>
      <xdr:colOff>57150</xdr:colOff>
      <xdr:row>522</xdr:row>
      <xdr:rowOff>57149</xdr:rowOff>
    </xdr:from>
    <xdr:to>
      <xdr:col>13</xdr:col>
      <xdr:colOff>542925</xdr:colOff>
      <xdr:row>561</xdr:row>
      <xdr:rowOff>57151</xdr:rowOff>
    </xdr:to>
    <xdr:sp macro="" textlink="">
      <xdr:nvSpPr>
        <xdr:cNvPr id="31" name="Rectangle 30">
          <a:extLst>
            <a:ext uri="{FF2B5EF4-FFF2-40B4-BE49-F238E27FC236}">
              <a16:creationId xmlns:a16="http://schemas.microsoft.com/office/drawing/2014/main" id="{6768854E-B306-4FF9-BCD7-4415E52FCA37}"/>
            </a:ext>
          </a:extLst>
        </xdr:cNvPr>
        <xdr:cNvSpPr/>
      </xdr:nvSpPr>
      <xdr:spPr>
        <a:xfrm>
          <a:off x="5543550" y="102336599"/>
          <a:ext cx="2924175" cy="746760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b="0"/>
            <a:t>The George Rozsa Golf Classic is an annual charity golf tournament organized by the Dignity Health Foundation – East Valley. The event aims to bring the community together to support local hospitals by funding essential equipment and training, thereby enhancing medical care for residents</a:t>
          </a:r>
          <a:r>
            <a:rPr lang="en-US"/>
            <a:t>. ​</a:t>
          </a:r>
        </a:p>
        <a:p>
          <a:pPr algn="l"/>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b="0"/>
            <a:t>The George Rozsa Golf Classic is a signature fundraising event hosted by the Dignity Health Foundation – East Valley. Held annually, this tournament honors the late George Rozsa, a passionate advocate for compassionate, community-centered healthcare. The event brings together healthcare professionals, corporate sponsors, and community leaders for a day of friendly competition, networking, and philanthropy.</a:t>
          </a:r>
        </a:p>
        <a:p>
          <a:endParaRPr lang="en-US" b="0"/>
        </a:p>
        <a:p>
          <a:r>
            <a:rPr lang="en-US" b="0"/>
            <a:t>Participants enjoy a full day of golf at the prestigious Whirlwind Golf Club at Wild Horse Pass, complete with breakfast, on-course contests, raffle prizes, and a hosted luncheon or awards reception. In addition to the tournament, the event features high-visibility sponsorship opportunities that support critical healthcare needs in East Valley hospitals — including new medical technologies, facility enhancements, and caregiver education programs.</a:t>
          </a:r>
        </a:p>
        <a:p>
          <a:endParaRPr lang="en-US" sz="1100" b="0" i="0" u="none">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br>
            <a:rPr lang="en-US"/>
          </a:br>
          <a:r>
            <a:rPr lang="en-US" sz="1100" b="0" i="0">
              <a:solidFill>
                <a:schemeClr val="lt1"/>
              </a:solidFill>
              <a:effectLst/>
              <a:latin typeface="+mn-lt"/>
              <a:ea typeface="+mn-ea"/>
              <a:cs typeface="+mn-cs"/>
            </a:rPr>
            <a:t>Whirlwind Golf Club at Wild Horse Pass, 5692 W North Loop Rd, Chandler, AZ 85226</a:t>
          </a:r>
        </a:p>
        <a:p>
          <a:pPr algn="l"/>
          <a:endParaRPr lang="en-US" sz="1100" b="0" i="0" baseline="0">
            <a:solidFill>
              <a:schemeClr val="lt1"/>
            </a:solidFill>
            <a:effectLst/>
            <a:latin typeface="+mn-lt"/>
            <a:ea typeface="+mn-ea"/>
            <a:cs typeface="+mn-cs"/>
          </a:endParaRPr>
        </a:p>
        <a:p>
          <a:r>
            <a:rPr lang="en-US" sz="1100" b="1" i="0" baseline="0">
              <a:solidFill>
                <a:schemeClr val="lt1"/>
              </a:solidFill>
              <a:effectLst/>
              <a:latin typeface="+mn-lt"/>
              <a:ea typeface="+mn-ea"/>
              <a:cs typeface="+mn-cs"/>
            </a:rPr>
            <a:t>Our Foursome: </a:t>
          </a:r>
          <a:endParaRPr lang="en-US" b="1">
            <a:effectLst/>
          </a:endParaRPr>
        </a:p>
        <a:p>
          <a:r>
            <a:rPr lang="en-US" sz="1100" b="0" i="0" baseline="0">
              <a:solidFill>
                <a:schemeClr val="lt1"/>
              </a:solidFill>
              <a:effectLst/>
              <a:latin typeface="+mn-lt"/>
              <a:ea typeface="+mn-ea"/>
              <a:cs typeface="+mn-cs"/>
            </a:rPr>
            <a:t>Chris Carter, Mario Hernandez, Terrence Stephen, Sal Aguilar, Ty Leroy, Osvaldo Gudino, </a:t>
          </a:r>
          <a:endParaRPr lang="en-US">
            <a:effectLst/>
          </a:endParaRPr>
        </a:p>
        <a:p>
          <a:r>
            <a:rPr lang="en-US" sz="1100" b="1" i="0" baseline="0">
              <a:solidFill>
                <a:schemeClr val="lt1"/>
              </a:solidFill>
              <a:effectLst/>
              <a:latin typeface="+mn-lt"/>
              <a:ea typeface="+mn-ea"/>
              <a:cs typeface="+mn-cs"/>
            </a:rPr>
            <a:t>Team outside Foursome: </a:t>
          </a:r>
          <a:endParaRPr lang="en-US" b="1">
            <a:effectLst/>
          </a:endParaRPr>
        </a:p>
        <a:p>
          <a:r>
            <a:rPr lang="en-US" sz="1100" b="0" i="0" baseline="0">
              <a:solidFill>
                <a:schemeClr val="lt1"/>
              </a:solidFill>
              <a:effectLst/>
              <a:latin typeface="+mn-lt"/>
              <a:ea typeface="+mn-ea"/>
              <a:cs typeface="+mn-cs"/>
            </a:rPr>
            <a:t>Jake Schaefer</a:t>
          </a:r>
          <a:endParaRPr lang="en-US">
            <a:effectLst/>
          </a:endParaRPr>
        </a:p>
        <a:p>
          <a:r>
            <a:rPr lang="en-US" sz="1100" b="1" i="0" baseline="0">
              <a:solidFill>
                <a:schemeClr val="lt1"/>
              </a:solidFill>
              <a:effectLst/>
              <a:latin typeface="+mn-lt"/>
              <a:ea typeface="+mn-ea"/>
              <a:cs typeface="+mn-cs"/>
            </a:rPr>
            <a:t>Volunteers: </a:t>
          </a:r>
          <a:endParaRPr lang="en-US" b="1">
            <a:effectLst/>
          </a:endParaRPr>
        </a:p>
        <a:p>
          <a:r>
            <a:rPr lang="en-US" sz="1100" b="0" i="0" baseline="0">
              <a:solidFill>
                <a:schemeClr val="lt1"/>
              </a:solidFill>
              <a:effectLst/>
              <a:latin typeface="+mn-lt"/>
              <a:ea typeface="+mn-ea"/>
              <a:cs typeface="+mn-cs"/>
            </a:rPr>
            <a:t>Joanna, Jonique, Darius, Allison, Kerri, Jessica, Loria, &amp; Stephen Medeiros </a:t>
          </a:r>
          <a:endParaRPr lang="en-US">
            <a:effectLst/>
          </a:endParaRPr>
        </a:p>
        <a:p>
          <a:pPr algn="l"/>
          <a:endParaRPr lang="en-US" sz="1100" b="0" i="0" baseline="0">
            <a:solidFill>
              <a:schemeClr val="lt1"/>
            </a:solidFill>
            <a:effectLst/>
            <a:latin typeface="+mn-lt"/>
            <a:ea typeface="+mn-ea"/>
            <a:cs typeface="+mn-cs"/>
          </a:endParaRPr>
        </a:p>
        <a:p>
          <a:pPr algn="l"/>
          <a:endParaRPr lang="en-US" sz="1100" b="0" i="0" baseline="0">
            <a:solidFill>
              <a:schemeClr val="lt1"/>
            </a:solidFill>
            <a:effectLst/>
            <a:latin typeface="+mn-lt"/>
            <a:ea typeface="+mn-ea"/>
            <a:cs typeface="+mn-cs"/>
          </a:endParaRPr>
        </a:p>
      </xdr:txBody>
    </xdr:sp>
    <xdr:clientData/>
  </xdr:twoCellAnchor>
  <xdr:twoCellAnchor>
    <xdr:from>
      <xdr:col>0</xdr:col>
      <xdr:colOff>123825</xdr:colOff>
      <xdr:row>547</xdr:row>
      <xdr:rowOff>85725</xdr:rowOff>
    </xdr:from>
    <xdr:to>
      <xdr:col>4</xdr:col>
      <xdr:colOff>95250</xdr:colOff>
      <xdr:row>550</xdr:row>
      <xdr:rowOff>114300</xdr:rowOff>
    </xdr:to>
    <xdr:sp macro="" textlink="">
      <xdr:nvSpPr>
        <xdr:cNvPr id="57" name="Rectangle 56">
          <a:extLst>
            <a:ext uri="{FF2B5EF4-FFF2-40B4-BE49-F238E27FC236}">
              <a16:creationId xmlns:a16="http://schemas.microsoft.com/office/drawing/2014/main" id="{5E04C3C2-C51F-4D67-9FD4-6725C532A9AE}"/>
            </a:ext>
          </a:extLst>
        </xdr:cNvPr>
        <xdr:cNvSpPr/>
      </xdr:nvSpPr>
      <xdr:spPr>
        <a:xfrm>
          <a:off x="123825" y="98383725"/>
          <a:ext cx="2409825" cy="6000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rPr>
            <a:t>Sante, Aleca, Alante</a:t>
          </a:r>
          <a:endParaRPr lang="en-US" sz="1100">
            <a:solidFill>
              <a:schemeClr val="bg1"/>
            </a:solidFill>
          </a:endParaRPr>
        </a:p>
      </xdr:txBody>
    </xdr:sp>
    <xdr:clientData/>
  </xdr:twoCellAnchor>
  <xdr:twoCellAnchor>
    <xdr:from>
      <xdr:col>5</xdr:col>
      <xdr:colOff>0</xdr:colOff>
      <xdr:row>544</xdr:row>
      <xdr:rowOff>19050</xdr:rowOff>
    </xdr:from>
    <xdr:to>
      <xdr:col>8</xdr:col>
      <xdr:colOff>542925</xdr:colOff>
      <xdr:row>552</xdr:row>
      <xdr:rowOff>171450</xdr:rowOff>
    </xdr:to>
    <xdr:sp macro="" textlink="">
      <xdr:nvSpPr>
        <xdr:cNvPr id="58" name="Rectangle 57">
          <a:extLst>
            <a:ext uri="{FF2B5EF4-FFF2-40B4-BE49-F238E27FC236}">
              <a16:creationId xmlns:a16="http://schemas.microsoft.com/office/drawing/2014/main" id="{5AFEA6C3-D30B-4754-8CB5-2BFC28210AC7}"/>
            </a:ext>
          </a:extLst>
        </xdr:cNvPr>
        <xdr:cNvSpPr/>
      </xdr:nvSpPr>
      <xdr:spPr>
        <a:xfrm>
          <a:off x="3048000" y="106527600"/>
          <a:ext cx="2371725" cy="1676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The event is designed for community members, business leaders, healthcare professionals, and golf enthusiasts who are interested in supporting local healthcare initiatives while enjoying a day of golf.​</a:t>
          </a:r>
        </a:p>
      </xdr:txBody>
    </xdr:sp>
    <xdr:clientData/>
  </xdr:twoCellAnchor>
  <xdr:twoCellAnchor>
    <xdr:from>
      <xdr:col>0</xdr:col>
      <xdr:colOff>104775</xdr:colOff>
      <xdr:row>552</xdr:row>
      <xdr:rowOff>123825</xdr:rowOff>
    </xdr:from>
    <xdr:to>
      <xdr:col>4</xdr:col>
      <xdr:colOff>523875</xdr:colOff>
      <xdr:row>561</xdr:row>
      <xdr:rowOff>104775</xdr:rowOff>
    </xdr:to>
    <xdr:sp macro="" textlink="">
      <xdr:nvSpPr>
        <xdr:cNvPr id="62" name="Rectangle 61">
          <a:extLst>
            <a:ext uri="{FF2B5EF4-FFF2-40B4-BE49-F238E27FC236}">
              <a16:creationId xmlns:a16="http://schemas.microsoft.com/office/drawing/2014/main" id="{BE2C270A-B4DE-4DE9-B283-C32C212DDE7D}"/>
            </a:ext>
          </a:extLst>
        </xdr:cNvPr>
        <xdr:cNvSpPr/>
      </xdr:nvSpPr>
      <xdr:spPr>
        <a:xfrm>
          <a:off x="104775" y="108156375"/>
          <a:ext cx="2857500" cy="1695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Sante of Chandler: $7,500</a:t>
          </a:r>
        </a:p>
        <a:p>
          <a:pPr algn="l"/>
          <a:r>
            <a:rPr lang="en-US" sz="1100" b="0" i="0">
              <a:solidFill>
                <a:schemeClr val="lt1"/>
              </a:solidFill>
              <a:effectLst/>
              <a:latin typeface="+mn-lt"/>
              <a:ea typeface="+mn-ea"/>
              <a:cs typeface="+mn-cs"/>
            </a:rPr>
            <a:t>Sante of Mesa: $4,000</a:t>
          </a:r>
        </a:p>
        <a:p>
          <a:pPr algn="l"/>
          <a:r>
            <a:rPr lang="en-US" sz="1100" b="0" i="0">
              <a:solidFill>
                <a:schemeClr val="lt1"/>
              </a:solidFill>
              <a:effectLst/>
              <a:latin typeface="+mn-lt"/>
              <a:ea typeface="+mn-ea"/>
              <a:cs typeface="+mn-cs"/>
            </a:rPr>
            <a:t>Sante of NS: $2,000</a:t>
          </a:r>
        </a:p>
        <a:p>
          <a:pPr algn="l"/>
          <a:r>
            <a:rPr lang="en-US" sz="1100" b="0" i="0">
              <a:solidFill>
                <a:schemeClr val="lt1"/>
              </a:solidFill>
              <a:effectLst/>
              <a:latin typeface="+mn-lt"/>
              <a:ea typeface="+mn-ea"/>
              <a:cs typeface="+mn-cs"/>
            </a:rPr>
            <a:t>Sante of Surprise: $2,000</a:t>
          </a:r>
        </a:p>
        <a:p>
          <a:pPr algn="l"/>
          <a:r>
            <a:rPr lang="en-US" sz="1100" b="0" i="0">
              <a:solidFill>
                <a:schemeClr val="lt1"/>
              </a:solidFill>
              <a:effectLst/>
              <a:latin typeface="+mn-lt"/>
              <a:ea typeface="+mn-ea"/>
              <a:cs typeface="+mn-cs"/>
            </a:rPr>
            <a:t>Aleca Home Health: $4,000</a:t>
          </a:r>
        </a:p>
        <a:p>
          <a:pPr algn="l"/>
          <a:r>
            <a:rPr lang="en-US" sz="1100" b="0" i="0">
              <a:solidFill>
                <a:schemeClr val="lt1"/>
              </a:solidFill>
              <a:effectLst/>
              <a:latin typeface="+mn-lt"/>
              <a:ea typeface="+mn-ea"/>
              <a:cs typeface="+mn-cs"/>
            </a:rPr>
            <a:t>Aleca Hospice: $4,000</a:t>
          </a:r>
        </a:p>
        <a:p>
          <a:pPr algn="l"/>
          <a:r>
            <a:rPr lang="en-US" sz="1100" b="0" i="0">
              <a:solidFill>
                <a:schemeClr val="lt1"/>
              </a:solidFill>
              <a:effectLst/>
              <a:latin typeface="+mn-lt"/>
              <a:ea typeface="+mn-ea"/>
              <a:cs typeface="+mn-cs"/>
            </a:rPr>
            <a:t>Alante: $4,000</a:t>
          </a:r>
        </a:p>
        <a:p>
          <a:pPr algn="l"/>
          <a:r>
            <a:rPr lang="en-US" sz="1100" b="0" i="0">
              <a:solidFill>
                <a:schemeClr val="lt1"/>
              </a:solidFill>
              <a:effectLst/>
              <a:latin typeface="+mn-lt"/>
              <a:ea typeface="+mn-ea"/>
              <a:cs typeface="+mn-cs"/>
            </a:rPr>
            <a:t>Total: $27,500 (We are the presenting sponsors for the event)</a:t>
          </a:r>
          <a:endParaRPr lang="en-US" sz="1100"/>
        </a:p>
      </xdr:txBody>
    </xdr:sp>
    <xdr:clientData/>
  </xdr:twoCellAnchor>
  <xdr:twoCellAnchor>
    <xdr:from>
      <xdr:col>5</xdr:col>
      <xdr:colOff>104776</xdr:colOff>
      <xdr:row>554</xdr:row>
      <xdr:rowOff>76200</xdr:rowOff>
    </xdr:from>
    <xdr:to>
      <xdr:col>8</xdr:col>
      <xdr:colOff>542926</xdr:colOff>
      <xdr:row>557</xdr:row>
      <xdr:rowOff>9525</xdr:rowOff>
    </xdr:to>
    <xdr:sp macro="" textlink="">
      <xdr:nvSpPr>
        <xdr:cNvPr id="64" name="Rectangle 63">
          <a:hlinkClick xmlns:r="http://schemas.openxmlformats.org/officeDocument/2006/relationships" r:id="rId34"/>
          <a:extLst>
            <a:ext uri="{FF2B5EF4-FFF2-40B4-BE49-F238E27FC236}">
              <a16:creationId xmlns:a16="http://schemas.microsoft.com/office/drawing/2014/main" id="{BE47CDBD-558D-4A94-847A-2E501B8466DD}"/>
            </a:ext>
          </a:extLst>
        </xdr:cNvPr>
        <xdr:cNvSpPr/>
      </xdr:nvSpPr>
      <xdr:spPr>
        <a:xfrm>
          <a:off x="3152776" y="108489750"/>
          <a:ext cx="2266950" cy="5048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Dignity Health Foundation - East Valley</a:t>
          </a:r>
          <a:endParaRPr lang="en-US" sz="1100">
            <a:solidFill>
              <a:schemeClr val="bg1"/>
            </a:solidFill>
          </a:endParaRPr>
        </a:p>
      </xdr:txBody>
    </xdr:sp>
    <xdr:clientData/>
  </xdr:twoCellAnchor>
  <xdr:twoCellAnchor>
    <xdr:from>
      <xdr:col>0</xdr:col>
      <xdr:colOff>95250</xdr:colOff>
      <xdr:row>565</xdr:row>
      <xdr:rowOff>95250</xdr:rowOff>
    </xdr:from>
    <xdr:to>
      <xdr:col>0</xdr:col>
      <xdr:colOff>438150</xdr:colOff>
      <xdr:row>567</xdr:row>
      <xdr:rowOff>28575</xdr:rowOff>
    </xdr:to>
    <xdr:sp macro="" textlink="">
      <xdr:nvSpPr>
        <xdr:cNvPr id="66" name="Star: 5 Points 65">
          <a:extLst>
            <a:ext uri="{FF2B5EF4-FFF2-40B4-BE49-F238E27FC236}">
              <a16:creationId xmlns:a16="http://schemas.microsoft.com/office/drawing/2014/main" id="{5D0CDDFD-9AF5-4AF0-B9A6-69A579366BCF}"/>
            </a:ext>
          </a:extLst>
        </xdr:cNvPr>
        <xdr:cNvSpPr/>
      </xdr:nvSpPr>
      <xdr:spPr>
        <a:xfrm>
          <a:off x="95250" y="800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565</xdr:row>
      <xdr:rowOff>114300</xdr:rowOff>
    </xdr:from>
    <xdr:to>
      <xdr:col>1</xdr:col>
      <xdr:colOff>247650</xdr:colOff>
      <xdr:row>567</xdr:row>
      <xdr:rowOff>47625</xdr:rowOff>
    </xdr:to>
    <xdr:sp macro="" textlink="">
      <xdr:nvSpPr>
        <xdr:cNvPr id="1025" name="Star: 5 Points 1024">
          <a:extLst>
            <a:ext uri="{FF2B5EF4-FFF2-40B4-BE49-F238E27FC236}">
              <a16:creationId xmlns:a16="http://schemas.microsoft.com/office/drawing/2014/main" id="{F63AE0BF-9C64-47EC-A7A5-2D75916F07A2}"/>
            </a:ext>
          </a:extLst>
        </xdr:cNvPr>
        <xdr:cNvSpPr/>
      </xdr:nvSpPr>
      <xdr:spPr>
        <a:xfrm>
          <a:off x="514350" y="819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565</xdr:row>
      <xdr:rowOff>114300</xdr:rowOff>
    </xdr:from>
    <xdr:to>
      <xdr:col>2</xdr:col>
      <xdr:colOff>76200</xdr:colOff>
      <xdr:row>567</xdr:row>
      <xdr:rowOff>47625</xdr:rowOff>
    </xdr:to>
    <xdr:sp macro="" textlink="">
      <xdr:nvSpPr>
        <xdr:cNvPr id="1040" name="Star: 5 Points 1039">
          <a:extLst>
            <a:ext uri="{FF2B5EF4-FFF2-40B4-BE49-F238E27FC236}">
              <a16:creationId xmlns:a16="http://schemas.microsoft.com/office/drawing/2014/main" id="{3C9464CE-892F-4873-A288-77BC69DFA839}"/>
            </a:ext>
          </a:extLst>
        </xdr:cNvPr>
        <xdr:cNvSpPr/>
      </xdr:nvSpPr>
      <xdr:spPr>
        <a:xfrm>
          <a:off x="952500" y="819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565</xdr:row>
      <xdr:rowOff>114300</xdr:rowOff>
    </xdr:from>
    <xdr:to>
      <xdr:col>2</xdr:col>
      <xdr:colOff>523875</xdr:colOff>
      <xdr:row>567</xdr:row>
      <xdr:rowOff>47625</xdr:rowOff>
    </xdr:to>
    <xdr:sp macro="" textlink="">
      <xdr:nvSpPr>
        <xdr:cNvPr id="1041" name="Star: 5 Points 1040">
          <a:extLst>
            <a:ext uri="{FF2B5EF4-FFF2-40B4-BE49-F238E27FC236}">
              <a16:creationId xmlns:a16="http://schemas.microsoft.com/office/drawing/2014/main" id="{BB27CD8D-A0C2-49C6-A659-1502AC49DD95}"/>
            </a:ext>
          </a:extLst>
        </xdr:cNvPr>
        <xdr:cNvSpPr/>
      </xdr:nvSpPr>
      <xdr:spPr>
        <a:xfrm>
          <a:off x="1400175" y="819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565</xdr:row>
      <xdr:rowOff>123825</xdr:rowOff>
    </xdr:from>
    <xdr:to>
      <xdr:col>3</xdr:col>
      <xdr:colOff>342900</xdr:colOff>
      <xdr:row>567</xdr:row>
      <xdr:rowOff>57150</xdr:rowOff>
    </xdr:to>
    <xdr:sp macro="" textlink="">
      <xdr:nvSpPr>
        <xdr:cNvPr id="1042" name="Star: 5 Points 1041">
          <a:extLst>
            <a:ext uri="{FF2B5EF4-FFF2-40B4-BE49-F238E27FC236}">
              <a16:creationId xmlns:a16="http://schemas.microsoft.com/office/drawing/2014/main" id="{06521898-D327-44D2-B869-297CEB0207EA}"/>
            </a:ext>
          </a:extLst>
        </xdr:cNvPr>
        <xdr:cNvSpPr/>
      </xdr:nvSpPr>
      <xdr:spPr>
        <a:xfrm>
          <a:off x="1828800" y="8286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569</xdr:row>
      <xdr:rowOff>57151</xdr:rowOff>
    </xdr:from>
    <xdr:to>
      <xdr:col>4</xdr:col>
      <xdr:colOff>57150</xdr:colOff>
      <xdr:row>573</xdr:row>
      <xdr:rowOff>9526</xdr:rowOff>
    </xdr:to>
    <xdr:sp macro="" textlink="">
      <xdr:nvSpPr>
        <xdr:cNvPr id="1043" name="Rectangle 1042">
          <a:extLst>
            <a:ext uri="{FF2B5EF4-FFF2-40B4-BE49-F238E27FC236}">
              <a16:creationId xmlns:a16="http://schemas.microsoft.com/office/drawing/2014/main" id="{1EF89C1C-FFA7-4132-8BE7-0BDBDF57FA98}"/>
            </a:ext>
          </a:extLst>
        </xdr:cNvPr>
        <xdr:cNvSpPr/>
      </xdr:nvSpPr>
      <xdr:spPr>
        <a:xfrm>
          <a:off x="85725" y="15335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575</xdr:row>
      <xdr:rowOff>76201</xdr:rowOff>
    </xdr:from>
    <xdr:to>
      <xdr:col>4</xdr:col>
      <xdr:colOff>57150</xdr:colOff>
      <xdr:row>579</xdr:row>
      <xdr:rowOff>38101</xdr:rowOff>
    </xdr:to>
    <xdr:sp macro="" textlink="">
      <xdr:nvSpPr>
        <xdr:cNvPr id="1044" name="Rectangle 1043">
          <a:extLst>
            <a:ext uri="{FF2B5EF4-FFF2-40B4-BE49-F238E27FC236}">
              <a16:creationId xmlns:a16="http://schemas.microsoft.com/office/drawing/2014/main" id="{EEAE58F4-7ED6-4DB3-BE83-EFFE3827A5E2}"/>
            </a:ext>
          </a:extLst>
        </xdr:cNvPr>
        <xdr:cNvSpPr/>
      </xdr:nvSpPr>
      <xdr:spPr>
        <a:xfrm>
          <a:off x="85725" y="27146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581</xdr:row>
      <xdr:rowOff>123825</xdr:rowOff>
    </xdr:from>
    <xdr:to>
      <xdr:col>4</xdr:col>
      <xdr:colOff>76200</xdr:colOff>
      <xdr:row>590</xdr:row>
      <xdr:rowOff>9525</xdr:rowOff>
    </xdr:to>
    <xdr:sp macro="" textlink="">
      <xdr:nvSpPr>
        <xdr:cNvPr id="1045" name="Rectangle 1044">
          <a:extLst>
            <a:ext uri="{FF2B5EF4-FFF2-40B4-BE49-F238E27FC236}">
              <a16:creationId xmlns:a16="http://schemas.microsoft.com/office/drawing/2014/main" id="{A61CCED6-A76B-4C3D-8AEC-F60FB6DACAFE}"/>
            </a:ext>
          </a:extLst>
        </xdr:cNvPr>
        <xdr:cNvSpPr/>
      </xdr:nvSpPr>
      <xdr:spPr>
        <a:xfrm>
          <a:off x="104775" y="391477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569</xdr:row>
      <xdr:rowOff>38100</xdr:rowOff>
    </xdr:from>
    <xdr:to>
      <xdr:col>8</xdr:col>
      <xdr:colOff>561975</xdr:colOff>
      <xdr:row>571</xdr:row>
      <xdr:rowOff>161925</xdr:rowOff>
    </xdr:to>
    <xdr:sp macro="" textlink="">
      <xdr:nvSpPr>
        <xdr:cNvPr id="1046" name="Rectangle 1045">
          <a:extLst>
            <a:ext uri="{FF2B5EF4-FFF2-40B4-BE49-F238E27FC236}">
              <a16:creationId xmlns:a16="http://schemas.microsoft.com/office/drawing/2014/main" id="{60E6E54A-5230-4B9D-A926-823674F6A510}"/>
            </a:ext>
          </a:extLst>
        </xdr:cNvPr>
        <xdr:cNvSpPr/>
      </xdr:nvSpPr>
      <xdr:spPr>
        <a:xfrm>
          <a:off x="3028950" y="1514475"/>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575</xdr:row>
      <xdr:rowOff>76201</xdr:rowOff>
    </xdr:from>
    <xdr:to>
      <xdr:col>8</xdr:col>
      <xdr:colOff>561975</xdr:colOff>
      <xdr:row>579</xdr:row>
      <xdr:rowOff>38101</xdr:rowOff>
    </xdr:to>
    <xdr:sp macro="" textlink="">
      <xdr:nvSpPr>
        <xdr:cNvPr id="1047" name="Rectangle 1046">
          <a:extLst>
            <a:ext uri="{FF2B5EF4-FFF2-40B4-BE49-F238E27FC236}">
              <a16:creationId xmlns:a16="http://schemas.microsoft.com/office/drawing/2014/main" id="{95256319-60AC-470E-A672-2AC66436DC59}"/>
            </a:ext>
          </a:extLst>
        </xdr:cNvPr>
        <xdr:cNvSpPr/>
      </xdr:nvSpPr>
      <xdr:spPr>
        <a:xfrm>
          <a:off x="3028950" y="27146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581</xdr:row>
      <xdr:rowOff>104775</xdr:rowOff>
    </xdr:from>
    <xdr:to>
      <xdr:col>9</xdr:col>
      <xdr:colOff>333376</xdr:colOff>
      <xdr:row>583</xdr:row>
      <xdr:rowOff>171450</xdr:rowOff>
    </xdr:to>
    <xdr:sp macro="" textlink="">
      <xdr:nvSpPr>
        <xdr:cNvPr id="1048" name="Rectangle 1047">
          <a:extLst>
            <a:ext uri="{FF2B5EF4-FFF2-40B4-BE49-F238E27FC236}">
              <a16:creationId xmlns:a16="http://schemas.microsoft.com/office/drawing/2014/main" id="{D7D309BC-BE7E-4DE8-9E2F-FDFE976B8E35}"/>
            </a:ext>
          </a:extLst>
        </xdr:cNvPr>
        <xdr:cNvSpPr/>
      </xdr:nvSpPr>
      <xdr:spPr>
        <a:xfrm>
          <a:off x="3019426" y="3895725"/>
          <a:ext cx="2800350"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4</xdr:col>
      <xdr:colOff>581025</xdr:colOff>
      <xdr:row>585</xdr:row>
      <xdr:rowOff>95250</xdr:rowOff>
    </xdr:from>
    <xdr:to>
      <xdr:col>6</xdr:col>
      <xdr:colOff>123824</xdr:colOff>
      <xdr:row>587</xdr:row>
      <xdr:rowOff>47625</xdr:rowOff>
    </xdr:to>
    <xdr:sp macro="" textlink="">
      <xdr:nvSpPr>
        <xdr:cNvPr id="1049" name="Rectangle 1048">
          <a:extLst>
            <a:ext uri="{FF2B5EF4-FFF2-40B4-BE49-F238E27FC236}">
              <a16:creationId xmlns:a16="http://schemas.microsoft.com/office/drawing/2014/main" id="{25F37045-16FF-49C5-8D3B-0A1FC361A0D1}"/>
            </a:ext>
          </a:extLst>
        </xdr:cNvPr>
        <xdr:cNvSpPr/>
      </xdr:nvSpPr>
      <xdr:spPr>
        <a:xfrm>
          <a:off x="3019425" y="4648200"/>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150+</a:t>
          </a:r>
        </a:p>
        <a:p>
          <a:pPr algn="l"/>
          <a:endParaRPr lang="en-US" sz="1100"/>
        </a:p>
      </xdr:txBody>
    </xdr:sp>
    <xdr:clientData/>
  </xdr:twoCellAnchor>
  <xdr:twoCellAnchor>
    <xdr:from>
      <xdr:col>9</xdr:col>
      <xdr:colOff>428625</xdr:colOff>
      <xdr:row>569</xdr:row>
      <xdr:rowOff>19049</xdr:rowOff>
    </xdr:from>
    <xdr:to>
      <xdr:col>13</xdr:col>
      <xdr:colOff>400050</xdr:colOff>
      <xdr:row>598</xdr:row>
      <xdr:rowOff>19050</xdr:rowOff>
    </xdr:to>
    <xdr:sp macro="" textlink="">
      <xdr:nvSpPr>
        <xdr:cNvPr id="1050" name="Rectangle 1049">
          <a:extLst>
            <a:ext uri="{FF2B5EF4-FFF2-40B4-BE49-F238E27FC236}">
              <a16:creationId xmlns:a16="http://schemas.microsoft.com/office/drawing/2014/main" id="{84B3D5C5-3163-4CB1-A792-1ACF29FBDA29}"/>
            </a:ext>
          </a:extLst>
        </xdr:cNvPr>
        <xdr:cNvSpPr/>
      </xdr:nvSpPr>
      <xdr:spPr>
        <a:xfrm>
          <a:off x="5915025" y="1495424"/>
          <a:ext cx="2409825" cy="55530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 </a:t>
          </a:r>
          <a:r>
            <a:rPr lang="en-US"/>
            <a:t>The conference aims to bring together professionals from the home care and palliative care sectors to discuss industry trends, share knowledge, and explore new products and services.</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r>
            <a:rPr lang="en-US"/>
            <a:t>This is a collaborative conference organized by the Arizona Association for Home Care (AAHC) and the Arizona Hospice and Palliative Care Organization (AHPCO). It features a variety of sessions, workshops, and an expo showcasing the latest in home care and palliative care services. </a:t>
          </a:r>
          <a:r>
            <a:rPr lang="en-US" sz="1100" b="0" i="0">
              <a:solidFill>
                <a:schemeClr val="lt1"/>
              </a:solidFill>
              <a:effectLst/>
              <a:latin typeface="+mn-lt"/>
              <a:ea typeface="+mn-ea"/>
              <a:cs typeface="+mn-cs"/>
            </a:rPr>
            <a:t>Home health, in-home care, hospice and palliative care professionals attend the Expo to find the solutions that help them provide high-quality care and run a successful agency or company.</a:t>
          </a:r>
        </a:p>
        <a:p>
          <a:pPr algn="l"/>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Scottsdale, AZ</a:t>
          </a:r>
          <a:endParaRPr lang="en-US" sz="1100"/>
        </a:p>
      </xdr:txBody>
    </xdr:sp>
    <xdr:clientData/>
  </xdr:twoCellAnchor>
  <xdr:twoCellAnchor>
    <xdr:from>
      <xdr:col>0</xdr:col>
      <xdr:colOff>123825</xdr:colOff>
      <xdr:row>591</xdr:row>
      <xdr:rowOff>171450</xdr:rowOff>
    </xdr:from>
    <xdr:to>
      <xdr:col>4</xdr:col>
      <xdr:colOff>495300</xdr:colOff>
      <xdr:row>603</xdr:row>
      <xdr:rowOff>123825</xdr:rowOff>
    </xdr:to>
    <xdr:sp macro="" textlink="">
      <xdr:nvSpPr>
        <xdr:cNvPr id="1051" name="Rectangle 1050">
          <a:extLst>
            <a:ext uri="{FF2B5EF4-FFF2-40B4-BE49-F238E27FC236}">
              <a16:creationId xmlns:a16="http://schemas.microsoft.com/office/drawing/2014/main" id="{33B55ED8-E9DD-4E88-A66D-A897EA9B1916}"/>
            </a:ext>
          </a:extLst>
        </xdr:cNvPr>
        <xdr:cNvSpPr/>
      </xdr:nvSpPr>
      <xdr:spPr>
        <a:xfrm>
          <a:off x="123825" y="115814475"/>
          <a:ext cx="2809875" cy="2238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a:t>                                            1</a:t>
          </a:r>
          <a:r>
            <a:rPr lang="en-US" sz="1100" baseline="0"/>
            <a:t> Day                        2 Days</a:t>
          </a:r>
        </a:p>
        <a:p>
          <a:r>
            <a:rPr lang="en-US" sz="1100" baseline="0"/>
            <a:t>                                   (Wed or Thu)          (Wed &amp; Thur)</a:t>
          </a:r>
        </a:p>
        <a:p>
          <a:r>
            <a:rPr lang="en-US" sz="1100"/>
            <a:t>Members:                     $450                              $600</a:t>
          </a:r>
        </a:p>
        <a:p>
          <a:endParaRPr lang="en-US" sz="1100"/>
        </a:p>
        <a:p>
          <a:r>
            <a:rPr lang="en-US" sz="1100"/>
            <a:t>Non Members              $750                             $1,200</a:t>
          </a:r>
        </a:p>
        <a:p>
          <a:endParaRPr lang="en-US" sz="1100"/>
        </a:p>
        <a:p>
          <a:r>
            <a:rPr lang="en-US" sz="1100"/>
            <a:t>Additional Exhibitor:</a:t>
          </a:r>
          <a:r>
            <a:rPr lang="en-US" sz="1100" baseline="0"/>
            <a:t>   $100                             $200</a:t>
          </a:r>
        </a:p>
        <a:p>
          <a:r>
            <a:rPr lang="en-US" sz="1100" baseline="0"/>
            <a:t>(This is just for an exhibit space; there are different sponsor levels that may be better for ROI, especially since they all include the exhibit) Melissa suggested the Program Partner Sponsorship, which is $2,500</a:t>
          </a:r>
          <a:endParaRPr lang="en-US" sz="1100"/>
        </a:p>
      </xdr:txBody>
    </xdr:sp>
    <xdr:clientData/>
  </xdr:twoCellAnchor>
  <xdr:twoCellAnchor>
    <xdr:from>
      <xdr:col>5</xdr:col>
      <xdr:colOff>0</xdr:colOff>
      <xdr:row>589</xdr:row>
      <xdr:rowOff>19050</xdr:rowOff>
    </xdr:from>
    <xdr:to>
      <xdr:col>9</xdr:col>
      <xdr:colOff>238125</xdr:colOff>
      <xdr:row>597</xdr:row>
      <xdr:rowOff>152400</xdr:rowOff>
    </xdr:to>
    <xdr:sp macro="" textlink="">
      <xdr:nvSpPr>
        <xdr:cNvPr id="1052" name="Rectangle 1051">
          <a:extLst>
            <a:ext uri="{FF2B5EF4-FFF2-40B4-BE49-F238E27FC236}">
              <a16:creationId xmlns:a16="http://schemas.microsoft.com/office/drawing/2014/main" id="{D624AAF3-CADB-49A3-854E-51FB5BEB1355}"/>
            </a:ext>
          </a:extLst>
        </xdr:cNvPr>
        <xdr:cNvSpPr/>
      </xdr:nvSpPr>
      <xdr:spPr>
        <a:xfrm>
          <a:off x="3048000" y="5334000"/>
          <a:ext cx="2676525" cy="1657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Owners, executives, and leaders of:</a:t>
          </a:r>
        </a:p>
        <a:p>
          <a:r>
            <a:rPr lang="en-US"/>
            <a:t>Home health agencies</a:t>
          </a:r>
        </a:p>
        <a:p>
          <a:r>
            <a:rPr lang="en-US"/>
            <a:t>In-home care companies</a:t>
          </a:r>
        </a:p>
        <a:p>
          <a:r>
            <a:rPr lang="en-US"/>
            <a:t>Hospice organizations</a:t>
          </a:r>
        </a:p>
        <a:p>
          <a:r>
            <a:rPr lang="en-US"/>
            <a:t>Community-based palliative care providers</a:t>
          </a:r>
        </a:p>
        <a:p>
          <a:r>
            <a:rPr lang="en-US"/>
            <a:t>Vendors and solution providers targeting this industry</a:t>
          </a:r>
        </a:p>
      </xdr:txBody>
    </xdr:sp>
    <xdr:clientData/>
  </xdr:twoCellAnchor>
  <xdr:twoCellAnchor>
    <xdr:from>
      <xdr:col>4</xdr:col>
      <xdr:colOff>552450</xdr:colOff>
      <xdr:row>599</xdr:row>
      <xdr:rowOff>152400</xdr:rowOff>
    </xdr:from>
    <xdr:to>
      <xdr:col>8</xdr:col>
      <xdr:colOff>523875</xdr:colOff>
      <xdr:row>601</xdr:row>
      <xdr:rowOff>123825</xdr:rowOff>
    </xdr:to>
    <xdr:sp macro="" textlink="">
      <xdr:nvSpPr>
        <xdr:cNvPr id="1053" name="Rectangle 1052">
          <a:extLst>
            <a:ext uri="{FF2B5EF4-FFF2-40B4-BE49-F238E27FC236}">
              <a16:creationId xmlns:a16="http://schemas.microsoft.com/office/drawing/2014/main" id="{65A9BFCF-E4E4-4F55-B559-4D14558A81FB}"/>
            </a:ext>
          </a:extLst>
        </xdr:cNvPr>
        <xdr:cNvSpPr/>
      </xdr:nvSpPr>
      <xdr:spPr>
        <a:xfrm>
          <a:off x="2990850" y="7372350"/>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Aleca</a:t>
          </a:r>
          <a:endParaRPr lang="en-US" sz="1100"/>
        </a:p>
      </xdr:txBody>
    </xdr:sp>
    <xdr:clientData/>
  </xdr:twoCellAnchor>
  <xdr:twoCellAnchor>
    <xdr:from>
      <xdr:col>9</xdr:col>
      <xdr:colOff>419100</xdr:colOff>
      <xdr:row>600</xdr:row>
      <xdr:rowOff>85725</xdr:rowOff>
    </xdr:from>
    <xdr:to>
      <xdr:col>13</xdr:col>
      <xdr:colOff>390525</xdr:colOff>
      <xdr:row>602</xdr:row>
      <xdr:rowOff>133350</xdr:rowOff>
    </xdr:to>
    <xdr:sp macro="" textlink="">
      <xdr:nvSpPr>
        <xdr:cNvPr id="1054" name="Rectangle 1053">
          <a:hlinkClick xmlns:r="http://schemas.openxmlformats.org/officeDocument/2006/relationships" r:id="rId35"/>
          <a:extLst>
            <a:ext uri="{FF2B5EF4-FFF2-40B4-BE49-F238E27FC236}">
              <a16:creationId xmlns:a16="http://schemas.microsoft.com/office/drawing/2014/main" id="{9ED5B8C3-D27A-452F-8287-7C74A5F97293}"/>
            </a:ext>
          </a:extLst>
        </xdr:cNvPr>
        <xdr:cNvSpPr/>
      </xdr:nvSpPr>
      <xdr:spPr>
        <a:xfrm>
          <a:off x="5905500" y="7496175"/>
          <a:ext cx="2409825" cy="428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rPr>
            <a:t>2025 AAHC &amp; AHPCO Conference</a:t>
          </a:r>
          <a:r>
            <a:rPr lang="en-US" baseline="0">
              <a:solidFill>
                <a:schemeClr val="bg1"/>
              </a:solidFill>
            </a:rPr>
            <a:t> Expo</a:t>
          </a:r>
          <a:endParaRPr lang="en-US" sz="1100">
            <a:solidFill>
              <a:schemeClr val="bg1"/>
            </a:solidFill>
          </a:endParaRPr>
        </a:p>
      </xdr:txBody>
    </xdr:sp>
    <xdr:clientData/>
  </xdr:twoCellAnchor>
  <xdr:twoCellAnchor>
    <xdr:from>
      <xdr:col>0</xdr:col>
      <xdr:colOff>95250</xdr:colOff>
      <xdr:row>607</xdr:row>
      <xdr:rowOff>95250</xdr:rowOff>
    </xdr:from>
    <xdr:to>
      <xdr:col>0</xdr:col>
      <xdr:colOff>438150</xdr:colOff>
      <xdr:row>609</xdr:row>
      <xdr:rowOff>28575</xdr:rowOff>
    </xdr:to>
    <xdr:sp macro="" textlink="">
      <xdr:nvSpPr>
        <xdr:cNvPr id="1055" name="Star: 5 Points 1054">
          <a:extLst>
            <a:ext uri="{FF2B5EF4-FFF2-40B4-BE49-F238E27FC236}">
              <a16:creationId xmlns:a16="http://schemas.microsoft.com/office/drawing/2014/main" id="{33AF2CB6-6E18-4B00-AADD-D42021385A85}"/>
            </a:ext>
          </a:extLst>
        </xdr:cNvPr>
        <xdr:cNvSpPr/>
      </xdr:nvSpPr>
      <xdr:spPr>
        <a:xfrm>
          <a:off x="95250" y="8991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607</xdr:row>
      <xdr:rowOff>114300</xdr:rowOff>
    </xdr:from>
    <xdr:to>
      <xdr:col>1</xdr:col>
      <xdr:colOff>247650</xdr:colOff>
      <xdr:row>609</xdr:row>
      <xdr:rowOff>47625</xdr:rowOff>
    </xdr:to>
    <xdr:sp macro="" textlink="">
      <xdr:nvSpPr>
        <xdr:cNvPr id="1056" name="Star: 5 Points 1055">
          <a:extLst>
            <a:ext uri="{FF2B5EF4-FFF2-40B4-BE49-F238E27FC236}">
              <a16:creationId xmlns:a16="http://schemas.microsoft.com/office/drawing/2014/main" id="{70AD51EF-9EFF-435C-AF02-BFB9F170164A}"/>
            </a:ext>
          </a:extLst>
        </xdr:cNvPr>
        <xdr:cNvSpPr/>
      </xdr:nvSpPr>
      <xdr:spPr>
        <a:xfrm>
          <a:off x="514350" y="90106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607</xdr:row>
      <xdr:rowOff>114300</xdr:rowOff>
    </xdr:from>
    <xdr:to>
      <xdr:col>2</xdr:col>
      <xdr:colOff>76200</xdr:colOff>
      <xdr:row>609</xdr:row>
      <xdr:rowOff>47625</xdr:rowOff>
    </xdr:to>
    <xdr:sp macro="" textlink="">
      <xdr:nvSpPr>
        <xdr:cNvPr id="1057" name="Star: 5 Points 1056">
          <a:extLst>
            <a:ext uri="{FF2B5EF4-FFF2-40B4-BE49-F238E27FC236}">
              <a16:creationId xmlns:a16="http://schemas.microsoft.com/office/drawing/2014/main" id="{A0F72CB5-CF1D-4FD5-B379-E928ADDFA960}"/>
            </a:ext>
          </a:extLst>
        </xdr:cNvPr>
        <xdr:cNvSpPr/>
      </xdr:nvSpPr>
      <xdr:spPr>
        <a:xfrm>
          <a:off x="952500" y="90106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607</xdr:row>
      <xdr:rowOff>114300</xdr:rowOff>
    </xdr:from>
    <xdr:to>
      <xdr:col>2</xdr:col>
      <xdr:colOff>523875</xdr:colOff>
      <xdr:row>609</xdr:row>
      <xdr:rowOff>47625</xdr:rowOff>
    </xdr:to>
    <xdr:sp macro="" textlink="">
      <xdr:nvSpPr>
        <xdr:cNvPr id="1112" name="Star: 5 Points 1111">
          <a:extLst>
            <a:ext uri="{FF2B5EF4-FFF2-40B4-BE49-F238E27FC236}">
              <a16:creationId xmlns:a16="http://schemas.microsoft.com/office/drawing/2014/main" id="{B8EA93C5-57AE-467F-99B1-C9841F0CF49A}"/>
            </a:ext>
          </a:extLst>
        </xdr:cNvPr>
        <xdr:cNvSpPr/>
      </xdr:nvSpPr>
      <xdr:spPr>
        <a:xfrm>
          <a:off x="1400175" y="90106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607</xdr:row>
      <xdr:rowOff>123825</xdr:rowOff>
    </xdr:from>
    <xdr:to>
      <xdr:col>3</xdr:col>
      <xdr:colOff>342900</xdr:colOff>
      <xdr:row>609</xdr:row>
      <xdr:rowOff>57150</xdr:rowOff>
    </xdr:to>
    <xdr:sp macro="" textlink="">
      <xdr:nvSpPr>
        <xdr:cNvPr id="1113" name="Star: 5 Points 1112">
          <a:extLst>
            <a:ext uri="{FF2B5EF4-FFF2-40B4-BE49-F238E27FC236}">
              <a16:creationId xmlns:a16="http://schemas.microsoft.com/office/drawing/2014/main" id="{D7066E80-9F39-4D27-8B2D-0029946A5454}"/>
            </a:ext>
          </a:extLst>
        </xdr:cNvPr>
        <xdr:cNvSpPr/>
      </xdr:nvSpPr>
      <xdr:spPr>
        <a:xfrm>
          <a:off x="1828800" y="90201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611</xdr:row>
      <xdr:rowOff>57151</xdr:rowOff>
    </xdr:from>
    <xdr:to>
      <xdr:col>4</xdr:col>
      <xdr:colOff>57150</xdr:colOff>
      <xdr:row>615</xdr:row>
      <xdr:rowOff>9526</xdr:rowOff>
    </xdr:to>
    <xdr:sp macro="" textlink="">
      <xdr:nvSpPr>
        <xdr:cNvPr id="1114" name="Rectangle 1113">
          <a:extLst>
            <a:ext uri="{FF2B5EF4-FFF2-40B4-BE49-F238E27FC236}">
              <a16:creationId xmlns:a16="http://schemas.microsoft.com/office/drawing/2014/main" id="{FCDC9080-DA47-47BB-BEAC-DB902DE4D5AA}"/>
            </a:ext>
          </a:extLst>
        </xdr:cNvPr>
        <xdr:cNvSpPr/>
      </xdr:nvSpPr>
      <xdr:spPr>
        <a:xfrm>
          <a:off x="85725" y="97250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617</xdr:row>
      <xdr:rowOff>76201</xdr:rowOff>
    </xdr:from>
    <xdr:to>
      <xdr:col>4</xdr:col>
      <xdr:colOff>57150</xdr:colOff>
      <xdr:row>621</xdr:row>
      <xdr:rowOff>38101</xdr:rowOff>
    </xdr:to>
    <xdr:sp macro="" textlink="">
      <xdr:nvSpPr>
        <xdr:cNvPr id="1115" name="Rectangle 1114">
          <a:extLst>
            <a:ext uri="{FF2B5EF4-FFF2-40B4-BE49-F238E27FC236}">
              <a16:creationId xmlns:a16="http://schemas.microsoft.com/office/drawing/2014/main" id="{2CA6D568-BCC2-49C5-834F-8EF6F5A188D8}"/>
            </a:ext>
          </a:extLst>
        </xdr:cNvPr>
        <xdr:cNvSpPr/>
      </xdr:nvSpPr>
      <xdr:spPr>
        <a:xfrm>
          <a:off x="85725" y="109061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623</xdr:row>
      <xdr:rowOff>123825</xdr:rowOff>
    </xdr:from>
    <xdr:to>
      <xdr:col>4</xdr:col>
      <xdr:colOff>76200</xdr:colOff>
      <xdr:row>632</xdr:row>
      <xdr:rowOff>9525</xdr:rowOff>
    </xdr:to>
    <xdr:sp macro="" textlink="">
      <xdr:nvSpPr>
        <xdr:cNvPr id="1116" name="Rectangle 1115">
          <a:extLst>
            <a:ext uri="{FF2B5EF4-FFF2-40B4-BE49-F238E27FC236}">
              <a16:creationId xmlns:a16="http://schemas.microsoft.com/office/drawing/2014/main" id="{8C334E16-03AD-47B4-8D79-40E1DCC8D730}"/>
            </a:ext>
          </a:extLst>
        </xdr:cNvPr>
        <xdr:cNvSpPr/>
      </xdr:nvSpPr>
      <xdr:spPr>
        <a:xfrm>
          <a:off x="104775" y="1210627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611</xdr:row>
      <xdr:rowOff>38100</xdr:rowOff>
    </xdr:from>
    <xdr:to>
      <xdr:col>8</xdr:col>
      <xdr:colOff>66675</xdr:colOff>
      <xdr:row>613</xdr:row>
      <xdr:rowOff>161925</xdr:rowOff>
    </xdr:to>
    <xdr:sp macro="" textlink="">
      <xdr:nvSpPr>
        <xdr:cNvPr id="1117" name="Rectangle 1116">
          <a:extLst>
            <a:ext uri="{FF2B5EF4-FFF2-40B4-BE49-F238E27FC236}">
              <a16:creationId xmlns:a16="http://schemas.microsoft.com/office/drawing/2014/main" id="{AE9291EE-5444-4CB9-B40E-5D458716C4EA}"/>
            </a:ext>
          </a:extLst>
        </xdr:cNvPr>
        <xdr:cNvSpPr/>
      </xdr:nvSpPr>
      <xdr:spPr>
        <a:xfrm>
          <a:off x="3028950" y="119653050"/>
          <a:ext cx="19145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617</xdr:row>
      <xdr:rowOff>76201</xdr:rowOff>
    </xdr:from>
    <xdr:to>
      <xdr:col>8</xdr:col>
      <xdr:colOff>104775</xdr:colOff>
      <xdr:row>621</xdr:row>
      <xdr:rowOff>38101</xdr:rowOff>
    </xdr:to>
    <xdr:sp macro="" textlink="">
      <xdr:nvSpPr>
        <xdr:cNvPr id="1118" name="Rectangle 1117">
          <a:extLst>
            <a:ext uri="{FF2B5EF4-FFF2-40B4-BE49-F238E27FC236}">
              <a16:creationId xmlns:a16="http://schemas.microsoft.com/office/drawing/2014/main" id="{6BBC1E27-67BF-4C5F-B398-6B38DC80C5CB}"/>
            </a:ext>
          </a:extLst>
        </xdr:cNvPr>
        <xdr:cNvSpPr/>
      </xdr:nvSpPr>
      <xdr:spPr>
        <a:xfrm>
          <a:off x="3028950" y="120853201"/>
          <a:ext cx="19526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623</xdr:row>
      <xdr:rowOff>104775</xdr:rowOff>
    </xdr:from>
    <xdr:to>
      <xdr:col>8</xdr:col>
      <xdr:colOff>161925</xdr:colOff>
      <xdr:row>625</xdr:row>
      <xdr:rowOff>171450</xdr:rowOff>
    </xdr:to>
    <xdr:sp macro="" textlink="">
      <xdr:nvSpPr>
        <xdr:cNvPr id="1119" name="Rectangle 1118">
          <a:extLst>
            <a:ext uri="{FF2B5EF4-FFF2-40B4-BE49-F238E27FC236}">
              <a16:creationId xmlns:a16="http://schemas.microsoft.com/office/drawing/2014/main" id="{C19C8FED-218A-487A-B5A9-FCDD2B7D1E85}"/>
            </a:ext>
          </a:extLst>
        </xdr:cNvPr>
        <xdr:cNvSpPr/>
      </xdr:nvSpPr>
      <xdr:spPr>
        <a:xfrm>
          <a:off x="3019426" y="122034300"/>
          <a:ext cx="2019299"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627</xdr:row>
      <xdr:rowOff>28575</xdr:rowOff>
    </xdr:from>
    <xdr:to>
      <xdr:col>6</xdr:col>
      <xdr:colOff>171449</xdr:colOff>
      <xdr:row>628</xdr:row>
      <xdr:rowOff>171450</xdr:rowOff>
    </xdr:to>
    <xdr:sp macro="" textlink="">
      <xdr:nvSpPr>
        <xdr:cNvPr id="1120" name="Rectangle 1119">
          <a:extLst>
            <a:ext uri="{FF2B5EF4-FFF2-40B4-BE49-F238E27FC236}">
              <a16:creationId xmlns:a16="http://schemas.microsoft.com/office/drawing/2014/main" id="{2D8F8DF1-FD53-41F8-8FF3-926911059CF4}"/>
            </a:ext>
          </a:extLst>
        </xdr:cNvPr>
        <xdr:cNvSpPr/>
      </xdr:nvSpPr>
      <xdr:spPr>
        <a:xfrm>
          <a:off x="3067050" y="1277302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8</xdr:col>
      <xdr:colOff>485775</xdr:colOff>
      <xdr:row>607</xdr:row>
      <xdr:rowOff>123823</xdr:rowOff>
    </xdr:from>
    <xdr:to>
      <xdr:col>13</xdr:col>
      <xdr:colOff>514350</xdr:colOff>
      <xdr:row>640</xdr:row>
      <xdr:rowOff>161924</xdr:rowOff>
    </xdr:to>
    <xdr:sp macro="" textlink="">
      <xdr:nvSpPr>
        <xdr:cNvPr id="1121" name="Rectangle 1120">
          <a:extLst>
            <a:ext uri="{FF2B5EF4-FFF2-40B4-BE49-F238E27FC236}">
              <a16:creationId xmlns:a16="http://schemas.microsoft.com/office/drawing/2014/main" id="{4CC55666-963B-4D69-87AF-2DE1DF01841D}"/>
            </a:ext>
          </a:extLst>
        </xdr:cNvPr>
        <xdr:cNvSpPr/>
      </xdr:nvSpPr>
      <xdr:spPr>
        <a:xfrm>
          <a:off x="5362575" y="118967248"/>
          <a:ext cx="3076575" cy="63627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b="0"/>
            <a:t>To provide unmatched opportunities for networking, education, and partnership within Arizona’s long-term care industry. The Expo is a gateway for vendors and partners to engage directly with professionals from skilled nursing, assisted living, and post-acute care settings.</a:t>
          </a:r>
        </a:p>
        <a:p>
          <a:pPr algn="l"/>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r>
            <a:rPr lang="en-US" b="0"/>
            <a:t>Hosted by the Arizona Health Care Association, this annual convention brings together leaders and staff from across Arizona’s long-term care landscape. The event features:</a:t>
          </a:r>
        </a:p>
        <a:p>
          <a:endParaRPr lang="en-US" b="0"/>
        </a:p>
        <a:p>
          <a:r>
            <a:rPr lang="en-US" b="0"/>
            <a:t>- Educational sessions</a:t>
          </a:r>
        </a:p>
        <a:p>
          <a:r>
            <a:rPr lang="en-US" b="0"/>
            <a:t>- Business partnership opportunities</a:t>
          </a:r>
        </a:p>
        <a:p>
          <a:r>
            <a:rPr lang="en-US" b="0"/>
            <a:t>- Exhibitor booths</a:t>
          </a:r>
        </a:p>
        <a:p>
          <a:r>
            <a:rPr lang="en-US" b="0"/>
            <a:t>- Networking events</a:t>
          </a:r>
        </a:p>
        <a:p>
          <a:endParaRPr lang="en-US" b="0"/>
        </a:p>
        <a:p>
          <a:r>
            <a:rPr lang="en-US" b="0"/>
            <a:t>AHCA represents facilities caring for over 18,000 elderly Arizonans, and this convention is one of its flagship events for stakeholder engagement.</a:t>
          </a:r>
          <a:endParaRPr lang="en-US" sz="1100" b="0" i="0">
            <a:solidFill>
              <a:schemeClr val="lt1"/>
            </a:solidFill>
            <a:effectLst/>
            <a:latin typeface="+mn-lt"/>
            <a:ea typeface="+mn-ea"/>
            <a:cs typeface="+mn-cs"/>
          </a:endParaRPr>
        </a:p>
        <a:p>
          <a:pPr algn="l"/>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Renaissance Phoenix Glendale Hotel &amp; Spa,</a:t>
          </a:r>
          <a:r>
            <a:rPr lang="en-US" sz="1100" b="0" i="0" baseline="0">
              <a:solidFill>
                <a:schemeClr val="lt1"/>
              </a:solidFill>
              <a:effectLst/>
              <a:latin typeface="+mn-lt"/>
              <a:ea typeface="+mn-ea"/>
              <a:cs typeface="+mn-cs"/>
            </a:rPr>
            <a:t> 9495 W Entertainment Blvd, Glendale, AZ, 85305. </a:t>
          </a:r>
          <a:r>
            <a:rPr lang="en-US" sz="1100">
              <a:solidFill>
                <a:schemeClr val="lt1"/>
              </a:solidFill>
              <a:effectLst/>
              <a:latin typeface="+mn-lt"/>
              <a:ea typeface="+mn-ea"/>
              <a:cs typeface="+mn-cs"/>
            </a:rPr>
            <a:t>From the OPS team- I have the following:</a:t>
          </a:r>
        </a:p>
        <a:p>
          <a:r>
            <a:rPr lang="en-US" sz="1100">
              <a:solidFill>
                <a:schemeClr val="lt1"/>
              </a:solidFill>
              <a:effectLst/>
              <a:latin typeface="+mn-lt"/>
              <a:ea typeface="+mn-ea"/>
              <a:cs typeface="+mn-cs"/>
            </a:rPr>
            <a:t> Sante:</a:t>
          </a:r>
        </a:p>
        <a:p>
          <a:r>
            <a:rPr lang="en-US" sz="1100">
              <a:solidFill>
                <a:schemeClr val="lt1"/>
              </a:solidFill>
              <a:effectLst/>
              <a:latin typeface="+mn-lt"/>
              <a:ea typeface="+mn-ea"/>
              <a:cs typeface="+mn-cs"/>
            </a:rPr>
            <a:t>Full conference</a:t>
          </a:r>
        </a:p>
        <a:p>
          <a:r>
            <a:rPr lang="en-US" sz="1100">
              <a:solidFill>
                <a:schemeClr val="lt1"/>
              </a:solidFill>
              <a:effectLst/>
              <a:latin typeface="+mn-lt"/>
              <a:ea typeface="+mn-ea"/>
              <a:cs typeface="+mn-cs"/>
            </a:rPr>
            <a:t>Joyal Simmons</a:t>
          </a:r>
        </a:p>
        <a:p>
          <a:r>
            <a:rPr lang="en-US" sz="1100">
              <a:solidFill>
                <a:schemeClr val="lt1"/>
              </a:solidFill>
              <a:effectLst/>
              <a:latin typeface="+mn-lt"/>
              <a:ea typeface="+mn-ea"/>
              <a:cs typeface="+mn-cs"/>
            </a:rPr>
            <a:t>Kerri Cummiskey</a:t>
          </a:r>
        </a:p>
        <a:p>
          <a:r>
            <a:rPr lang="en-US" sz="1100">
              <a:solidFill>
                <a:schemeClr val="lt1"/>
              </a:solidFill>
              <a:effectLst/>
              <a:latin typeface="+mn-lt"/>
              <a:ea typeface="+mn-ea"/>
              <a:cs typeface="+mn-cs"/>
            </a:rPr>
            <a:t>Stephanie Castillo</a:t>
          </a:r>
        </a:p>
        <a:p>
          <a:r>
            <a:rPr lang="en-US" sz="1100">
              <a:solidFill>
                <a:schemeClr val="lt1"/>
              </a:solidFill>
              <a:effectLst/>
              <a:latin typeface="+mn-lt"/>
              <a:ea typeface="+mn-ea"/>
              <a:cs typeface="+mn-cs"/>
            </a:rPr>
            <a:t>Patti Ibis</a:t>
          </a:r>
        </a:p>
        <a:p>
          <a:r>
            <a:rPr lang="en-US" sz="1100">
              <a:solidFill>
                <a:schemeClr val="lt1"/>
              </a:solidFill>
              <a:effectLst/>
              <a:latin typeface="+mn-lt"/>
              <a:ea typeface="+mn-ea"/>
              <a:cs typeface="+mn-cs"/>
            </a:rPr>
            <a:t>Lori Gudino</a:t>
          </a:r>
        </a:p>
        <a:p>
          <a:r>
            <a:rPr lang="en-US" sz="1100">
              <a:solidFill>
                <a:schemeClr val="lt1"/>
              </a:solidFill>
              <a:effectLst/>
              <a:latin typeface="+mn-lt"/>
              <a:ea typeface="+mn-ea"/>
              <a:cs typeface="+mn-cs"/>
            </a:rPr>
            <a:t> </a:t>
          </a:r>
        </a:p>
        <a:p>
          <a:r>
            <a:rPr lang="en-US" sz="1100">
              <a:solidFill>
                <a:schemeClr val="lt1"/>
              </a:solidFill>
              <a:effectLst/>
              <a:latin typeface="+mn-lt"/>
              <a:ea typeface="+mn-ea"/>
              <a:cs typeface="+mn-cs"/>
            </a:rPr>
            <a:t>1 day attendance:</a:t>
          </a:r>
        </a:p>
        <a:p>
          <a:r>
            <a:rPr lang="en-US" sz="1100">
              <a:solidFill>
                <a:schemeClr val="lt1"/>
              </a:solidFill>
              <a:effectLst/>
              <a:latin typeface="+mn-lt"/>
              <a:ea typeface="+mn-ea"/>
              <a:cs typeface="+mn-cs"/>
            </a:rPr>
            <a:t>Joe Atkinson</a:t>
          </a:r>
        </a:p>
        <a:p>
          <a:r>
            <a:rPr lang="en-US" sz="1100">
              <a:solidFill>
                <a:schemeClr val="lt1"/>
              </a:solidFill>
              <a:effectLst/>
              <a:latin typeface="+mn-lt"/>
              <a:ea typeface="+mn-ea"/>
              <a:cs typeface="+mn-cs"/>
            </a:rPr>
            <a:t>Kristen Bright</a:t>
          </a:r>
        </a:p>
        <a:p>
          <a:pPr algn="l"/>
          <a:endParaRPr lang="en-US" sz="1100"/>
        </a:p>
      </xdr:txBody>
    </xdr:sp>
    <xdr:clientData/>
  </xdr:twoCellAnchor>
  <xdr:twoCellAnchor>
    <xdr:from>
      <xdr:col>0</xdr:col>
      <xdr:colOff>123825</xdr:colOff>
      <xdr:row>634</xdr:row>
      <xdr:rowOff>19050</xdr:rowOff>
    </xdr:from>
    <xdr:to>
      <xdr:col>4</xdr:col>
      <xdr:colOff>66675</xdr:colOff>
      <xdr:row>645</xdr:row>
      <xdr:rowOff>123825</xdr:rowOff>
    </xdr:to>
    <xdr:sp macro="" textlink="">
      <xdr:nvSpPr>
        <xdr:cNvPr id="1122" name="Rectangle 1121">
          <a:extLst>
            <a:ext uri="{FF2B5EF4-FFF2-40B4-BE49-F238E27FC236}">
              <a16:creationId xmlns:a16="http://schemas.microsoft.com/office/drawing/2014/main" id="{2B83DC78-4202-4BD1-8102-F85851AB5528}"/>
            </a:ext>
          </a:extLst>
        </xdr:cNvPr>
        <xdr:cNvSpPr/>
      </xdr:nvSpPr>
      <xdr:spPr>
        <a:xfrm>
          <a:off x="123825" y="14097000"/>
          <a:ext cx="2381250" cy="22002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a:t>Exhibit</a:t>
          </a:r>
          <a:r>
            <a:rPr lang="en-US" sz="1100" baseline="0"/>
            <a:t> Booth Registration: </a:t>
          </a:r>
        </a:p>
        <a:p>
          <a:r>
            <a:rPr lang="en-US" sz="1100" baseline="0"/>
            <a:t>Member Pricing: $1,850</a:t>
          </a:r>
        </a:p>
        <a:p>
          <a:r>
            <a:rPr lang="en-US" sz="1100" baseline="0"/>
            <a:t>Non-Member: $2,550</a:t>
          </a:r>
        </a:p>
        <a:p>
          <a:endParaRPr lang="en-US" sz="1100" baseline="0"/>
        </a:p>
        <a:p>
          <a:r>
            <a:rPr lang="en-US" sz="1100" baseline="0"/>
            <a:t>Attendee Registration: </a:t>
          </a:r>
        </a:p>
        <a:p>
          <a:r>
            <a:rPr lang="en-US" sz="1100" baseline="0"/>
            <a:t>One day</a:t>
          </a:r>
        </a:p>
        <a:p>
          <a:r>
            <a:rPr lang="en-US" sz="1100" baseline="0"/>
            <a:t>Member: $653</a:t>
          </a:r>
        </a:p>
        <a:p>
          <a:r>
            <a:rPr lang="en-US" sz="1100" baseline="0"/>
            <a:t>Non-Member: $275</a:t>
          </a:r>
        </a:p>
      </xdr:txBody>
    </xdr:sp>
    <xdr:clientData/>
  </xdr:twoCellAnchor>
  <xdr:twoCellAnchor>
    <xdr:from>
      <xdr:col>4</xdr:col>
      <xdr:colOff>190501</xdr:colOff>
      <xdr:row>630</xdr:row>
      <xdr:rowOff>19051</xdr:rowOff>
    </xdr:from>
    <xdr:to>
      <xdr:col>8</xdr:col>
      <xdr:colOff>266701</xdr:colOff>
      <xdr:row>641</xdr:row>
      <xdr:rowOff>152401</xdr:rowOff>
    </xdr:to>
    <xdr:sp macro="" textlink="">
      <xdr:nvSpPr>
        <xdr:cNvPr id="1123" name="Rectangle 1122">
          <a:extLst>
            <a:ext uri="{FF2B5EF4-FFF2-40B4-BE49-F238E27FC236}">
              <a16:creationId xmlns:a16="http://schemas.microsoft.com/office/drawing/2014/main" id="{CAFFB435-F9F1-49B6-9405-16676943B30B}"/>
            </a:ext>
          </a:extLst>
        </xdr:cNvPr>
        <xdr:cNvSpPr/>
      </xdr:nvSpPr>
      <xdr:spPr>
        <a:xfrm>
          <a:off x="2628901" y="123282076"/>
          <a:ext cx="2514600" cy="22288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fontAlgn="base"/>
          <a:r>
            <a:rPr lang="en-US" sz="1000" b="0" i="0">
              <a:solidFill>
                <a:schemeClr val="lt1"/>
              </a:solidFill>
              <a:effectLst/>
              <a:latin typeface="+mn-lt"/>
              <a:ea typeface="+mn-ea"/>
              <a:cs typeface="+mn-cs"/>
            </a:rPr>
            <a:t>For-profit and not for-profit</a:t>
          </a:r>
        </a:p>
        <a:p>
          <a:pPr fontAlgn="base"/>
          <a:r>
            <a:rPr lang="en-US" sz="1000" b="0" i="0">
              <a:solidFill>
                <a:schemeClr val="lt1"/>
              </a:solidFill>
              <a:effectLst/>
              <a:latin typeface="+mn-lt"/>
              <a:ea typeface="+mn-ea"/>
              <a:cs typeface="+mn-cs"/>
            </a:rPr>
            <a:t>Skilled nursing providers</a:t>
          </a:r>
        </a:p>
        <a:p>
          <a:pPr fontAlgn="base"/>
          <a:r>
            <a:rPr lang="en-US" sz="1000" b="0" i="0">
              <a:solidFill>
                <a:schemeClr val="lt1"/>
              </a:solidFill>
              <a:effectLst/>
              <a:latin typeface="+mn-lt"/>
              <a:ea typeface="+mn-ea"/>
              <a:cs typeface="+mn-cs"/>
            </a:rPr>
            <a:t>Post acute providers</a:t>
          </a:r>
        </a:p>
        <a:p>
          <a:pPr fontAlgn="base"/>
          <a:r>
            <a:rPr lang="en-US" sz="1000" b="0" i="0">
              <a:solidFill>
                <a:schemeClr val="lt1"/>
              </a:solidFill>
              <a:effectLst/>
              <a:latin typeface="+mn-lt"/>
              <a:ea typeface="+mn-ea"/>
              <a:cs typeface="+mn-cs"/>
            </a:rPr>
            <a:t>Long term care providers</a:t>
          </a:r>
        </a:p>
        <a:p>
          <a:pPr fontAlgn="base"/>
          <a:endParaRPr lang="en-US" sz="1000" b="0" i="0">
            <a:solidFill>
              <a:schemeClr val="lt1"/>
            </a:solidFill>
            <a:effectLst/>
            <a:latin typeface="+mn-lt"/>
            <a:ea typeface="+mn-ea"/>
            <a:cs typeface="+mn-cs"/>
          </a:endParaRPr>
        </a:p>
        <a:p>
          <a:pPr fontAlgn="base"/>
          <a:r>
            <a:rPr lang="en-US" sz="1000" b="0" i="0">
              <a:solidFill>
                <a:schemeClr val="lt1"/>
              </a:solidFill>
              <a:effectLst/>
              <a:latin typeface="+mn-lt"/>
              <a:ea typeface="+mn-ea"/>
              <a:cs typeface="+mn-cs"/>
            </a:rPr>
            <a:t>Assisted living communities</a:t>
          </a:r>
        </a:p>
        <a:p>
          <a:r>
            <a:rPr lang="en-US" sz="1000"/>
            <a:t>Professionals in long-term care including:</a:t>
          </a:r>
        </a:p>
        <a:p>
          <a:r>
            <a:rPr lang="en-US" sz="1000" b="1"/>
            <a:t>16%</a:t>
          </a:r>
          <a:r>
            <a:rPr lang="en-US" sz="1000"/>
            <a:t> Owners / Operators / Corporate / C-Level</a:t>
          </a:r>
        </a:p>
        <a:p>
          <a:r>
            <a:rPr lang="en-US" sz="1000" b="1"/>
            <a:t>33%</a:t>
          </a:r>
          <a:r>
            <a:rPr lang="en-US" sz="1000"/>
            <a:t> Administrators / Executive Directors</a:t>
          </a:r>
        </a:p>
        <a:p>
          <a:r>
            <a:rPr lang="en-US" sz="1000" b="1"/>
            <a:t>21%</a:t>
          </a:r>
          <a:r>
            <a:rPr lang="en-US" sz="1000"/>
            <a:t> Clinical leaders (Directors of Nursing, Assistant DONs)</a:t>
          </a:r>
        </a:p>
        <a:p>
          <a:r>
            <a:rPr lang="en-US" sz="1000" b="1"/>
            <a:t>18%</a:t>
          </a:r>
          <a:r>
            <a:rPr lang="en-US" sz="1000"/>
            <a:t> Department Directors</a:t>
          </a:r>
        </a:p>
        <a:p>
          <a:r>
            <a:rPr lang="en-US" sz="1000" b="1"/>
            <a:t>12%</a:t>
          </a:r>
          <a:r>
            <a:rPr lang="en-US" sz="1000"/>
            <a:t> Facility staff</a:t>
          </a:r>
        </a:p>
        <a:p>
          <a:endParaRPr lang="en-US"/>
        </a:p>
      </xdr:txBody>
    </xdr:sp>
    <xdr:clientData/>
  </xdr:twoCellAnchor>
  <xdr:twoCellAnchor>
    <xdr:from>
      <xdr:col>4</xdr:col>
      <xdr:colOff>495300</xdr:colOff>
      <xdr:row>643</xdr:row>
      <xdr:rowOff>57150</xdr:rowOff>
    </xdr:from>
    <xdr:to>
      <xdr:col>8</xdr:col>
      <xdr:colOff>466725</xdr:colOff>
      <xdr:row>645</xdr:row>
      <xdr:rowOff>28575</xdr:rowOff>
    </xdr:to>
    <xdr:sp macro="" textlink="">
      <xdr:nvSpPr>
        <xdr:cNvPr id="1124" name="Rectangle 1123">
          <a:extLst>
            <a:ext uri="{FF2B5EF4-FFF2-40B4-BE49-F238E27FC236}">
              <a16:creationId xmlns:a16="http://schemas.microsoft.com/office/drawing/2014/main" id="{84A7E320-1C84-4E52-A0C5-B56A4E26A88E}"/>
            </a:ext>
          </a:extLst>
        </xdr:cNvPr>
        <xdr:cNvSpPr/>
      </xdr:nvSpPr>
      <xdr:spPr>
        <a:xfrm>
          <a:off x="2933700" y="15849600"/>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Aleca, Sante</a:t>
          </a:r>
          <a:endParaRPr lang="en-US" sz="1100"/>
        </a:p>
      </xdr:txBody>
    </xdr:sp>
    <xdr:clientData/>
  </xdr:twoCellAnchor>
  <xdr:twoCellAnchor>
    <xdr:from>
      <xdr:col>9</xdr:col>
      <xdr:colOff>419100</xdr:colOff>
      <xdr:row>642</xdr:row>
      <xdr:rowOff>85725</xdr:rowOff>
    </xdr:from>
    <xdr:to>
      <xdr:col>13</xdr:col>
      <xdr:colOff>390525</xdr:colOff>
      <xdr:row>645</xdr:row>
      <xdr:rowOff>161925</xdr:rowOff>
    </xdr:to>
    <xdr:sp macro="" textlink="">
      <xdr:nvSpPr>
        <xdr:cNvPr id="1125" name="Rectangle 1124">
          <a:hlinkClick xmlns:r="http://schemas.openxmlformats.org/officeDocument/2006/relationships" r:id="rId36"/>
          <a:extLst>
            <a:ext uri="{FF2B5EF4-FFF2-40B4-BE49-F238E27FC236}">
              <a16:creationId xmlns:a16="http://schemas.microsoft.com/office/drawing/2014/main" id="{4DB386EA-7C78-43D1-876B-5D9BFBB6961C}"/>
            </a:ext>
          </a:extLst>
        </xdr:cNvPr>
        <xdr:cNvSpPr/>
      </xdr:nvSpPr>
      <xdr:spPr>
        <a:xfrm>
          <a:off x="5905500" y="15687675"/>
          <a:ext cx="2409825" cy="647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Welcome to the Arizona Health Care Association - Arizona Health Care Association Conference</a:t>
          </a:r>
          <a:endParaRPr lang="en-US" sz="1100">
            <a:solidFill>
              <a:schemeClr val="bg1"/>
            </a:solidFill>
          </a:endParaRPr>
        </a:p>
      </xdr:txBody>
    </xdr:sp>
    <xdr:clientData/>
  </xdr:twoCellAnchor>
  <xdr:twoCellAnchor>
    <xdr:from>
      <xdr:col>0</xdr:col>
      <xdr:colOff>95250</xdr:colOff>
      <xdr:row>649</xdr:row>
      <xdr:rowOff>95250</xdr:rowOff>
    </xdr:from>
    <xdr:to>
      <xdr:col>0</xdr:col>
      <xdr:colOff>438150</xdr:colOff>
      <xdr:row>651</xdr:row>
      <xdr:rowOff>28575</xdr:rowOff>
    </xdr:to>
    <xdr:sp macro="" textlink="">
      <xdr:nvSpPr>
        <xdr:cNvPr id="1126" name="Star: 5 Points 1125">
          <a:extLst>
            <a:ext uri="{FF2B5EF4-FFF2-40B4-BE49-F238E27FC236}">
              <a16:creationId xmlns:a16="http://schemas.microsoft.com/office/drawing/2014/main" id="{2853E597-40D8-4753-83E2-3A1AFBBA1447}"/>
            </a:ext>
          </a:extLst>
        </xdr:cNvPr>
        <xdr:cNvSpPr/>
      </xdr:nvSpPr>
      <xdr:spPr>
        <a:xfrm>
          <a:off x="95250" y="17183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649</xdr:row>
      <xdr:rowOff>114300</xdr:rowOff>
    </xdr:from>
    <xdr:to>
      <xdr:col>1</xdr:col>
      <xdr:colOff>247650</xdr:colOff>
      <xdr:row>651</xdr:row>
      <xdr:rowOff>47625</xdr:rowOff>
    </xdr:to>
    <xdr:sp macro="" textlink="">
      <xdr:nvSpPr>
        <xdr:cNvPr id="1127" name="Star: 5 Points 1126">
          <a:extLst>
            <a:ext uri="{FF2B5EF4-FFF2-40B4-BE49-F238E27FC236}">
              <a16:creationId xmlns:a16="http://schemas.microsoft.com/office/drawing/2014/main" id="{F6112B00-E843-4491-AD57-18887A1E095F}"/>
            </a:ext>
          </a:extLst>
        </xdr:cNvPr>
        <xdr:cNvSpPr/>
      </xdr:nvSpPr>
      <xdr:spPr>
        <a:xfrm>
          <a:off x="514350" y="17202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649</xdr:row>
      <xdr:rowOff>114300</xdr:rowOff>
    </xdr:from>
    <xdr:to>
      <xdr:col>2</xdr:col>
      <xdr:colOff>76200</xdr:colOff>
      <xdr:row>651</xdr:row>
      <xdr:rowOff>47625</xdr:rowOff>
    </xdr:to>
    <xdr:sp macro="" textlink="">
      <xdr:nvSpPr>
        <xdr:cNvPr id="1128" name="Star: 5 Points 1127">
          <a:extLst>
            <a:ext uri="{FF2B5EF4-FFF2-40B4-BE49-F238E27FC236}">
              <a16:creationId xmlns:a16="http://schemas.microsoft.com/office/drawing/2014/main" id="{21AABF77-2AC3-49F3-81B1-3F59127F663D}"/>
            </a:ext>
          </a:extLst>
        </xdr:cNvPr>
        <xdr:cNvSpPr/>
      </xdr:nvSpPr>
      <xdr:spPr>
        <a:xfrm>
          <a:off x="952500" y="17202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649</xdr:row>
      <xdr:rowOff>114300</xdr:rowOff>
    </xdr:from>
    <xdr:to>
      <xdr:col>2</xdr:col>
      <xdr:colOff>523875</xdr:colOff>
      <xdr:row>651</xdr:row>
      <xdr:rowOff>47625</xdr:rowOff>
    </xdr:to>
    <xdr:sp macro="" textlink="">
      <xdr:nvSpPr>
        <xdr:cNvPr id="1129" name="Star: 5 Points 1128">
          <a:extLst>
            <a:ext uri="{FF2B5EF4-FFF2-40B4-BE49-F238E27FC236}">
              <a16:creationId xmlns:a16="http://schemas.microsoft.com/office/drawing/2014/main" id="{00909465-6B0B-4621-8B96-462B84891348}"/>
            </a:ext>
          </a:extLst>
        </xdr:cNvPr>
        <xdr:cNvSpPr/>
      </xdr:nvSpPr>
      <xdr:spPr>
        <a:xfrm>
          <a:off x="1400175" y="17202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649</xdr:row>
      <xdr:rowOff>123825</xdr:rowOff>
    </xdr:from>
    <xdr:to>
      <xdr:col>3</xdr:col>
      <xdr:colOff>342900</xdr:colOff>
      <xdr:row>651</xdr:row>
      <xdr:rowOff>57150</xdr:rowOff>
    </xdr:to>
    <xdr:sp macro="" textlink="">
      <xdr:nvSpPr>
        <xdr:cNvPr id="1166" name="Star: 5 Points 1165">
          <a:extLst>
            <a:ext uri="{FF2B5EF4-FFF2-40B4-BE49-F238E27FC236}">
              <a16:creationId xmlns:a16="http://schemas.microsoft.com/office/drawing/2014/main" id="{0D7F4178-E26F-4CEB-9287-400FDD35871B}"/>
            </a:ext>
          </a:extLst>
        </xdr:cNvPr>
        <xdr:cNvSpPr/>
      </xdr:nvSpPr>
      <xdr:spPr>
        <a:xfrm>
          <a:off x="1828800" y="172116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653</xdr:row>
      <xdr:rowOff>57151</xdr:rowOff>
    </xdr:from>
    <xdr:to>
      <xdr:col>4</xdr:col>
      <xdr:colOff>57150</xdr:colOff>
      <xdr:row>657</xdr:row>
      <xdr:rowOff>9526</xdr:rowOff>
    </xdr:to>
    <xdr:sp macro="" textlink="">
      <xdr:nvSpPr>
        <xdr:cNvPr id="1167" name="Rectangle 1166">
          <a:extLst>
            <a:ext uri="{FF2B5EF4-FFF2-40B4-BE49-F238E27FC236}">
              <a16:creationId xmlns:a16="http://schemas.microsoft.com/office/drawing/2014/main" id="{5439965E-0826-487E-BF22-C69F7B0A8110}"/>
            </a:ext>
          </a:extLst>
        </xdr:cNvPr>
        <xdr:cNvSpPr/>
      </xdr:nvSpPr>
      <xdr:spPr>
        <a:xfrm>
          <a:off x="85725" y="179165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659</xdr:row>
      <xdr:rowOff>76201</xdr:rowOff>
    </xdr:from>
    <xdr:to>
      <xdr:col>4</xdr:col>
      <xdr:colOff>57150</xdr:colOff>
      <xdr:row>663</xdr:row>
      <xdr:rowOff>38101</xdr:rowOff>
    </xdr:to>
    <xdr:sp macro="" textlink="">
      <xdr:nvSpPr>
        <xdr:cNvPr id="1168" name="Rectangle 1167">
          <a:extLst>
            <a:ext uri="{FF2B5EF4-FFF2-40B4-BE49-F238E27FC236}">
              <a16:creationId xmlns:a16="http://schemas.microsoft.com/office/drawing/2014/main" id="{02883205-CE0F-4128-A72A-A756C8F06FC6}"/>
            </a:ext>
          </a:extLst>
        </xdr:cNvPr>
        <xdr:cNvSpPr/>
      </xdr:nvSpPr>
      <xdr:spPr>
        <a:xfrm>
          <a:off x="85725" y="190976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665</xdr:row>
      <xdr:rowOff>123825</xdr:rowOff>
    </xdr:from>
    <xdr:to>
      <xdr:col>4</xdr:col>
      <xdr:colOff>76200</xdr:colOff>
      <xdr:row>674</xdr:row>
      <xdr:rowOff>9525</xdr:rowOff>
    </xdr:to>
    <xdr:sp macro="" textlink="">
      <xdr:nvSpPr>
        <xdr:cNvPr id="1169" name="Rectangle 1168">
          <a:extLst>
            <a:ext uri="{FF2B5EF4-FFF2-40B4-BE49-F238E27FC236}">
              <a16:creationId xmlns:a16="http://schemas.microsoft.com/office/drawing/2014/main" id="{BBA331DA-F255-420F-A2BE-C64D183A1F86}"/>
            </a:ext>
          </a:extLst>
        </xdr:cNvPr>
        <xdr:cNvSpPr/>
      </xdr:nvSpPr>
      <xdr:spPr>
        <a:xfrm>
          <a:off x="104775" y="2029777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653</xdr:row>
      <xdr:rowOff>38100</xdr:rowOff>
    </xdr:from>
    <xdr:to>
      <xdr:col>8</xdr:col>
      <xdr:colOff>561975</xdr:colOff>
      <xdr:row>655</xdr:row>
      <xdr:rowOff>161925</xdr:rowOff>
    </xdr:to>
    <xdr:sp macro="" textlink="">
      <xdr:nvSpPr>
        <xdr:cNvPr id="1170" name="Rectangle 1169">
          <a:extLst>
            <a:ext uri="{FF2B5EF4-FFF2-40B4-BE49-F238E27FC236}">
              <a16:creationId xmlns:a16="http://schemas.microsoft.com/office/drawing/2014/main" id="{94481E7B-BE2C-4901-A344-DAAFCA35D377}"/>
            </a:ext>
          </a:extLst>
        </xdr:cNvPr>
        <xdr:cNvSpPr/>
      </xdr:nvSpPr>
      <xdr:spPr>
        <a:xfrm>
          <a:off x="3028950" y="17897475"/>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659</xdr:row>
      <xdr:rowOff>76201</xdr:rowOff>
    </xdr:from>
    <xdr:to>
      <xdr:col>8</xdr:col>
      <xdr:colOff>561975</xdr:colOff>
      <xdr:row>663</xdr:row>
      <xdr:rowOff>38101</xdr:rowOff>
    </xdr:to>
    <xdr:sp macro="" textlink="">
      <xdr:nvSpPr>
        <xdr:cNvPr id="1171" name="Rectangle 1170">
          <a:extLst>
            <a:ext uri="{FF2B5EF4-FFF2-40B4-BE49-F238E27FC236}">
              <a16:creationId xmlns:a16="http://schemas.microsoft.com/office/drawing/2014/main" id="{4F79B008-9E34-404D-9FC3-76F95AA285C8}"/>
            </a:ext>
          </a:extLst>
        </xdr:cNvPr>
        <xdr:cNvSpPr/>
      </xdr:nvSpPr>
      <xdr:spPr>
        <a:xfrm>
          <a:off x="3028950" y="190976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665</xdr:row>
      <xdr:rowOff>104775</xdr:rowOff>
    </xdr:from>
    <xdr:to>
      <xdr:col>8</xdr:col>
      <xdr:colOff>514350</xdr:colOff>
      <xdr:row>667</xdr:row>
      <xdr:rowOff>171450</xdr:rowOff>
    </xdr:to>
    <xdr:sp macro="" textlink="">
      <xdr:nvSpPr>
        <xdr:cNvPr id="1172" name="Rectangle 1171">
          <a:extLst>
            <a:ext uri="{FF2B5EF4-FFF2-40B4-BE49-F238E27FC236}">
              <a16:creationId xmlns:a16="http://schemas.microsoft.com/office/drawing/2014/main" id="{7C3E9C70-0823-439F-987B-0D9FC00A340C}"/>
            </a:ext>
          </a:extLst>
        </xdr:cNvPr>
        <xdr:cNvSpPr/>
      </xdr:nvSpPr>
      <xdr:spPr>
        <a:xfrm>
          <a:off x="3019426" y="20278725"/>
          <a:ext cx="2371724" cy="4476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669</xdr:row>
      <xdr:rowOff>28575</xdr:rowOff>
    </xdr:from>
    <xdr:to>
      <xdr:col>6</xdr:col>
      <xdr:colOff>171449</xdr:colOff>
      <xdr:row>670</xdr:row>
      <xdr:rowOff>171450</xdr:rowOff>
    </xdr:to>
    <xdr:sp macro="" textlink="">
      <xdr:nvSpPr>
        <xdr:cNvPr id="1173" name="Rectangle 1172">
          <a:extLst>
            <a:ext uri="{FF2B5EF4-FFF2-40B4-BE49-F238E27FC236}">
              <a16:creationId xmlns:a16="http://schemas.microsoft.com/office/drawing/2014/main" id="{764DEB9E-25D0-4F56-8E91-C051A916A71E}"/>
            </a:ext>
          </a:extLst>
        </xdr:cNvPr>
        <xdr:cNvSpPr/>
      </xdr:nvSpPr>
      <xdr:spPr>
        <a:xfrm>
          <a:off x="3067050" y="2096452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9</xdr:col>
      <xdr:colOff>38100</xdr:colOff>
      <xdr:row>653</xdr:row>
      <xdr:rowOff>19050</xdr:rowOff>
    </xdr:from>
    <xdr:to>
      <xdr:col>13</xdr:col>
      <xdr:colOff>523875</xdr:colOff>
      <xdr:row>682</xdr:row>
      <xdr:rowOff>180975</xdr:rowOff>
    </xdr:to>
    <xdr:sp macro="" textlink="">
      <xdr:nvSpPr>
        <xdr:cNvPr id="1174" name="Rectangle 1173">
          <a:extLst>
            <a:ext uri="{FF2B5EF4-FFF2-40B4-BE49-F238E27FC236}">
              <a16:creationId xmlns:a16="http://schemas.microsoft.com/office/drawing/2014/main" id="{729A9E67-7333-42D6-A424-D8227433CF7C}"/>
            </a:ext>
          </a:extLst>
        </xdr:cNvPr>
        <xdr:cNvSpPr/>
      </xdr:nvSpPr>
      <xdr:spPr>
        <a:xfrm>
          <a:off x="5524500" y="17878425"/>
          <a:ext cx="2924175" cy="5715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a:solidFill>
                <a:schemeClr val="lt1"/>
              </a:solidFill>
              <a:effectLst/>
              <a:latin typeface="+mn-lt"/>
              <a:ea typeface="+mn-ea"/>
              <a:cs typeface="+mn-cs"/>
            </a:rPr>
            <a:t>Purpose: </a:t>
          </a:r>
          <a:r>
            <a:rPr lang="en-US" sz="1100" b="0" i="0">
              <a:solidFill>
                <a:schemeClr val="lt1"/>
              </a:solidFill>
              <a:effectLst/>
              <a:latin typeface="+mn-lt"/>
              <a:ea typeface="+mn-ea"/>
              <a:cs typeface="+mn-cs"/>
            </a:rPr>
            <a:t>The annual Internal Medicine Review, providing up-to-date clinical information and critical review of topics essential to internists and advanced practice providers.</a:t>
          </a:r>
          <a:endParaRPr lang="en-US">
            <a:effectLst/>
          </a:endParaRPr>
        </a:p>
        <a:p>
          <a:pPr algn="l"/>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r>
            <a:rPr lang="en-US" sz="1000" b="0"/>
            <a:t>The program features leading physicians and specialists covering areas such as cardiovascular care, liver health, mental health, pharmacology, and emerging trends in treatment and diagnostics.</a:t>
          </a:r>
        </a:p>
        <a:p>
          <a:endParaRPr lang="en-US" sz="1000" b="0"/>
        </a:p>
        <a:p>
          <a:r>
            <a:rPr lang="en-US" sz="1000" b="0"/>
            <a:t>Day 1 Highlights (Thursday, April 10):</a:t>
          </a:r>
        </a:p>
        <a:p>
          <a:r>
            <a:rPr lang="en-US" sz="1000" b="0"/>
            <a:t>- In-depth discussions on Postural Orthostatic Tachycardia Syndrome, Liver Health, Hypertension, and Anticoagulants</a:t>
          </a:r>
        </a:p>
        <a:p>
          <a:r>
            <a:rPr lang="en-US" sz="1000" b="0"/>
            <a:t>- Practical reviews including Musculoskeletal Testing and breakout sessions on Care Planning for Older Adults and Bariatric Surgery Complications</a:t>
          </a:r>
        </a:p>
        <a:p>
          <a:r>
            <a:rPr lang="en-US" sz="1000" b="0"/>
            <a:t>- A thought-provoking session on Cannabis Use Across the Lifespan</a:t>
          </a:r>
        </a:p>
        <a:p>
          <a:endParaRPr lang="en-US" sz="1000" b="0"/>
        </a:p>
        <a:p>
          <a:r>
            <a:rPr lang="en-US" sz="1000" b="0"/>
            <a:t>Day 2 Highlights (Friday, April 11):</a:t>
          </a:r>
        </a:p>
        <a:p>
          <a:r>
            <a:rPr lang="en-US" sz="1000" b="0"/>
            <a:t>- Clinical updates on Diabetic Complications, Suicidal Patient Management, Immunosuppressed Patient Prevention, and Valvular Heart Disease</a:t>
          </a:r>
        </a:p>
        <a:p>
          <a:r>
            <a:rPr lang="en-US" sz="1000" b="0"/>
            <a:t>- Timely talks on Adult ADHD, FDA Review &amp; Product Information Access, and an advanced look into Cardiac Amyloidosis Diagnosis and Treatment</a:t>
          </a:r>
        </a:p>
        <a:p>
          <a:endParaRPr lang="en-US" sz="1000" b="0"/>
        </a:p>
        <a:p>
          <a:r>
            <a:rPr lang="en-US" sz="1000" b="0"/>
            <a:t>Each day includes opportunities for Q&amp;A panels, networking with exhibitors, and interactive learning in a collaborative environment designed for primary care professionals.</a:t>
          </a:r>
        </a:p>
        <a:p>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Sentinel Hotel, Portland</a:t>
          </a:r>
          <a:r>
            <a:rPr lang="en-US" sz="1100" b="0" i="0" baseline="0">
              <a:solidFill>
                <a:schemeClr val="lt1"/>
              </a:solidFill>
              <a:effectLst/>
              <a:latin typeface="+mn-lt"/>
              <a:ea typeface="+mn-ea"/>
              <a:cs typeface="+mn-cs"/>
            </a:rPr>
            <a:t> OR</a:t>
          </a:r>
          <a:endParaRPr lang="en-US" sz="1100"/>
        </a:p>
      </xdr:txBody>
    </xdr:sp>
    <xdr:clientData/>
  </xdr:twoCellAnchor>
  <xdr:twoCellAnchor>
    <xdr:from>
      <xdr:col>0</xdr:col>
      <xdr:colOff>76200</xdr:colOff>
      <xdr:row>676</xdr:row>
      <xdr:rowOff>76201</xdr:rowOff>
    </xdr:from>
    <xdr:to>
      <xdr:col>4</xdr:col>
      <xdr:colOff>19050</xdr:colOff>
      <xdr:row>683</xdr:row>
      <xdr:rowOff>152401</xdr:rowOff>
    </xdr:to>
    <xdr:sp macro="" textlink="">
      <xdr:nvSpPr>
        <xdr:cNvPr id="1175" name="Rectangle 1174">
          <a:extLst>
            <a:ext uri="{FF2B5EF4-FFF2-40B4-BE49-F238E27FC236}">
              <a16:creationId xmlns:a16="http://schemas.microsoft.com/office/drawing/2014/main" id="{D5D1271E-B00A-4125-A6F6-652ED01D334D}"/>
            </a:ext>
          </a:extLst>
        </xdr:cNvPr>
        <xdr:cNvSpPr/>
      </xdr:nvSpPr>
      <xdr:spPr>
        <a:xfrm>
          <a:off x="76200" y="22345651"/>
          <a:ext cx="2381250" cy="1409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Prior to March 31, 2025</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Two days: $425</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Single day: $250</a:t>
          </a:r>
        </a:p>
        <a:p>
          <a:endParaRPr lang="en-US" sz="1100" b="0" i="0">
            <a:solidFill>
              <a:schemeClr val="lt1"/>
            </a:solidFill>
            <a:effectLst/>
            <a:latin typeface="+mn-lt"/>
            <a:ea typeface="+mn-ea"/>
            <a:cs typeface="+mn-cs"/>
          </a:endParaRPr>
        </a:p>
        <a:p>
          <a:r>
            <a:rPr lang="en-US" sz="1100" b="0" i="0">
              <a:solidFill>
                <a:schemeClr val="lt1"/>
              </a:solidFill>
              <a:effectLst/>
              <a:latin typeface="+mn-lt"/>
              <a:ea typeface="+mn-ea"/>
              <a:cs typeface="+mn-cs"/>
            </a:rPr>
            <a:t>On or after March 31, 2025</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Two days: $450</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Single day: $300</a:t>
          </a:r>
        </a:p>
      </xdr:txBody>
    </xdr:sp>
    <xdr:clientData/>
  </xdr:twoCellAnchor>
  <xdr:twoCellAnchor>
    <xdr:from>
      <xdr:col>4</xdr:col>
      <xdr:colOff>542925</xdr:colOff>
      <xdr:row>672</xdr:row>
      <xdr:rowOff>19051</xdr:rowOff>
    </xdr:from>
    <xdr:to>
      <xdr:col>8</xdr:col>
      <xdr:colOff>476251</xdr:colOff>
      <xdr:row>683</xdr:row>
      <xdr:rowOff>152401</xdr:rowOff>
    </xdr:to>
    <xdr:sp macro="" textlink="">
      <xdr:nvSpPr>
        <xdr:cNvPr id="1176" name="Rectangle 1175">
          <a:extLst>
            <a:ext uri="{FF2B5EF4-FFF2-40B4-BE49-F238E27FC236}">
              <a16:creationId xmlns:a16="http://schemas.microsoft.com/office/drawing/2014/main" id="{DE30FF67-FA02-45CB-8A68-85FAF2766D9F}"/>
            </a:ext>
          </a:extLst>
        </xdr:cNvPr>
        <xdr:cNvSpPr/>
      </xdr:nvSpPr>
      <xdr:spPr>
        <a:xfrm>
          <a:off x="2981325" y="21526501"/>
          <a:ext cx="2371726" cy="22288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fontAlgn="base"/>
          <a:r>
            <a:rPr lang="en-US" sz="1100" b="0" i="0">
              <a:solidFill>
                <a:schemeClr val="lt1"/>
              </a:solidFill>
              <a:effectLst/>
              <a:latin typeface="+mn-lt"/>
              <a:ea typeface="+mn-ea"/>
              <a:cs typeface="+mn-cs"/>
            </a:rPr>
            <a:t>internists, nurse practitioners, physician assistants.</a:t>
          </a:r>
          <a:endParaRPr lang="en-US"/>
        </a:p>
      </xdr:txBody>
    </xdr:sp>
    <xdr:clientData/>
  </xdr:twoCellAnchor>
  <xdr:twoCellAnchor>
    <xdr:from>
      <xdr:col>0</xdr:col>
      <xdr:colOff>28575</xdr:colOff>
      <xdr:row>685</xdr:row>
      <xdr:rowOff>38100</xdr:rowOff>
    </xdr:from>
    <xdr:to>
      <xdr:col>9</xdr:col>
      <xdr:colOff>276225</xdr:colOff>
      <xdr:row>688</xdr:row>
      <xdr:rowOff>133350</xdr:rowOff>
    </xdr:to>
    <xdr:sp macro="" textlink="">
      <xdr:nvSpPr>
        <xdr:cNvPr id="1177" name="Rectangle 1176">
          <a:extLst>
            <a:ext uri="{FF2B5EF4-FFF2-40B4-BE49-F238E27FC236}">
              <a16:creationId xmlns:a16="http://schemas.microsoft.com/office/drawing/2014/main" id="{5CB5FD33-301D-4B9B-90B3-159B4E41CAD9}"/>
            </a:ext>
          </a:extLst>
        </xdr:cNvPr>
        <xdr:cNvSpPr/>
      </xdr:nvSpPr>
      <xdr:spPr>
        <a:xfrm>
          <a:off x="28575" y="24022050"/>
          <a:ext cx="5734050" cy="666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Alante - </a:t>
          </a:r>
          <a:r>
            <a:rPr lang="en-US"/>
            <a:t>Alante’s focus on chronic care and medical complexity aligns very well</a:t>
          </a:r>
          <a:endParaRPr lang="en-US" sz="1100" b="0" i="0">
            <a:solidFill>
              <a:schemeClr val="lt1"/>
            </a:solidFill>
            <a:effectLst/>
            <a:latin typeface="+mn-lt"/>
            <a:ea typeface="+mn-ea"/>
            <a:cs typeface="+mn-cs"/>
          </a:endParaRPr>
        </a:p>
        <a:p>
          <a:pPr algn="l"/>
          <a:r>
            <a:rPr lang="en-US" sz="1100" b="0" i="0">
              <a:solidFill>
                <a:schemeClr val="lt1"/>
              </a:solidFill>
              <a:effectLst/>
              <a:latin typeface="+mn-lt"/>
              <a:ea typeface="+mn-ea"/>
              <a:cs typeface="+mn-cs"/>
            </a:rPr>
            <a:t>Aleca - </a:t>
          </a:r>
          <a:r>
            <a:rPr lang="en-US"/>
            <a:t>Relevant for clinical updates, especially post-acute and outpatient topics</a:t>
          </a:r>
          <a:endParaRPr lang="en-US" sz="1100" b="0" i="0">
            <a:solidFill>
              <a:schemeClr val="lt1"/>
            </a:solidFill>
            <a:effectLst/>
            <a:latin typeface="+mn-lt"/>
            <a:ea typeface="+mn-ea"/>
            <a:cs typeface="+mn-cs"/>
          </a:endParaRPr>
        </a:p>
        <a:p>
          <a:pPr algn="l"/>
          <a:endParaRPr lang="en-US" sz="1100"/>
        </a:p>
      </xdr:txBody>
    </xdr:sp>
    <xdr:clientData/>
  </xdr:twoCellAnchor>
  <xdr:twoCellAnchor>
    <xdr:from>
      <xdr:col>9</xdr:col>
      <xdr:colOff>419100</xdr:colOff>
      <xdr:row>684</xdr:row>
      <xdr:rowOff>85725</xdr:rowOff>
    </xdr:from>
    <xdr:to>
      <xdr:col>13</xdr:col>
      <xdr:colOff>390525</xdr:colOff>
      <xdr:row>687</xdr:row>
      <xdr:rowOff>161925</xdr:rowOff>
    </xdr:to>
    <xdr:sp macro="" textlink="">
      <xdr:nvSpPr>
        <xdr:cNvPr id="1178" name="Rectangle 1177">
          <a:hlinkClick xmlns:r="http://schemas.openxmlformats.org/officeDocument/2006/relationships" r:id="rId37"/>
          <a:extLst>
            <a:ext uri="{FF2B5EF4-FFF2-40B4-BE49-F238E27FC236}">
              <a16:creationId xmlns:a16="http://schemas.microsoft.com/office/drawing/2014/main" id="{76F76E69-19DF-4E3A-B7D5-A257683A099A}"/>
            </a:ext>
          </a:extLst>
        </xdr:cNvPr>
        <xdr:cNvSpPr/>
      </xdr:nvSpPr>
      <xdr:spPr>
        <a:xfrm>
          <a:off x="5905500" y="23879175"/>
          <a:ext cx="2409825" cy="647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32nd Annual Internal Medicine Review | OHSU CPD</a:t>
          </a:r>
          <a:endParaRPr lang="en-US" sz="1100">
            <a:solidFill>
              <a:schemeClr val="bg1"/>
            </a:solidFill>
          </a:endParaRPr>
        </a:p>
      </xdr:txBody>
    </xdr:sp>
    <xdr:clientData/>
  </xdr:twoCellAnchor>
  <xdr:twoCellAnchor>
    <xdr:from>
      <xdr:col>0</xdr:col>
      <xdr:colOff>95250</xdr:colOff>
      <xdr:row>692</xdr:row>
      <xdr:rowOff>95250</xdr:rowOff>
    </xdr:from>
    <xdr:to>
      <xdr:col>0</xdr:col>
      <xdr:colOff>438150</xdr:colOff>
      <xdr:row>694</xdr:row>
      <xdr:rowOff>28575</xdr:rowOff>
    </xdr:to>
    <xdr:sp macro="" textlink="">
      <xdr:nvSpPr>
        <xdr:cNvPr id="1179" name="Star: 5 Points 1178">
          <a:extLst>
            <a:ext uri="{FF2B5EF4-FFF2-40B4-BE49-F238E27FC236}">
              <a16:creationId xmlns:a16="http://schemas.microsoft.com/office/drawing/2014/main" id="{00EFA5CC-A694-4074-A62E-397C501EEB8A}"/>
            </a:ext>
          </a:extLst>
        </xdr:cNvPr>
        <xdr:cNvSpPr/>
      </xdr:nvSpPr>
      <xdr:spPr>
        <a:xfrm>
          <a:off x="95250" y="25565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692</xdr:row>
      <xdr:rowOff>114300</xdr:rowOff>
    </xdr:from>
    <xdr:to>
      <xdr:col>1</xdr:col>
      <xdr:colOff>247650</xdr:colOff>
      <xdr:row>694</xdr:row>
      <xdr:rowOff>47625</xdr:rowOff>
    </xdr:to>
    <xdr:sp macro="" textlink="">
      <xdr:nvSpPr>
        <xdr:cNvPr id="1180" name="Star: 5 Points 1179">
          <a:extLst>
            <a:ext uri="{FF2B5EF4-FFF2-40B4-BE49-F238E27FC236}">
              <a16:creationId xmlns:a16="http://schemas.microsoft.com/office/drawing/2014/main" id="{C754E2AD-2C52-4F1F-995D-23817D1030CA}"/>
            </a:ext>
          </a:extLst>
        </xdr:cNvPr>
        <xdr:cNvSpPr/>
      </xdr:nvSpPr>
      <xdr:spPr>
        <a:xfrm>
          <a:off x="514350" y="25584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692</xdr:row>
      <xdr:rowOff>114300</xdr:rowOff>
    </xdr:from>
    <xdr:to>
      <xdr:col>2</xdr:col>
      <xdr:colOff>76200</xdr:colOff>
      <xdr:row>694</xdr:row>
      <xdr:rowOff>47625</xdr:rowOff>
    </xdr:to>
    <xdr:sp macro="" textlink="">
      <xdr:nvSpPr>
        <xdr:cNvPr id="1181" name="Star: 5 Points 1180">
          <a:extLst>
            <a:ext uri="{FF2B5EF4-FFF2-40B4-BE49-F238E27FC236}">
              <a16:creationId xmlns:a16="http://schemas.microsoft.com/office/drawing/2014/main" id="{EC29EA3B-E1B7-47F2-BE41-BD6F0E21A39D}"/>
            </a:ext>
          </a:extLst>
        </xdr:cNvPr>
        <xdr:cNvSpPr/>
      </xdr:nvSpPr>
      <xdr:spPr>
        <a:xfrm>
          <a:off x="952500" y="25584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692</xdr:row>
      <xdr:rowOff>114300</xdr:rowOff>
    </xdr:from>
    <xdr:to>
      <xdr:col>2</xdr:col>
      <xdr:colOff>523875</xdr:colOff>
      <xdr:row>694</xdr:row>
      <xdr:rowOff>47625</xdr:rowOff>
    </xdr:to>
    <xdr:sp macro="" textlink="">
      <xdr:nvSpPr>
        <xdr:cNvPr id="1182" name="Star: 5 Points 1181">
          <a:extLst>
            <a:ext uri="{FF2B5EF4-FFF2-40B4-BE49-F238E27FC236}">
              <a16:creationId xmlns:a16="http://schemas.microsoft.com/office/drawing/2014/main" id="{D3847EE7-9840-4342-8734-A9C8C235F541}"/>
            </a:ext>
          </a:extLst>
        </xdr:cNvPr>
        <xdr:cNvSpPr/>
      </xdr:nvSpPr>
      <xdr:spPr>
        <a:xfrm>
          <a:off x="1400175" y="25584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692</xdr:row>
      <xdr:rowOff>123825</xdr:rowOff>
    </xdr:from>
    <xdr:to>
      <xdr:col>3</xdr:col>
      <xdr:colOff>342900</xdr:colOff>
      <xdr:row>694</xdr:row>
      <xdr:rowOff>57150</xdr:rowOff>
    </xdr:to>
    <xdr:sp macro="" textlink="">
      <xdr:nvSpPr>
        <xdr:cNvPr id="1183" name="Star: 5 Points 1182">
          <a:extLst>
            <a:ext uri="{FF2B5EF4-FFF2-40B4-BE49-F238E27FC236}">
              <a16:creationId xmlns:a16="http://schemas.microsoft.com/office/drawing/2014/main" id="{E546AFC9-7B56-4B63-B3C5-B406BC8D68A1}"/>
            </a:ext>
          </a:extLst>
        </xdr:cNvPr>
        <xdr:cNvSpPr/>
      </xdr:nvSpPr>
      <xdr:spPr>
        <a:xfrm>
          <a:off x="1828800" y="255936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696</xdr:row>
      <xdr:rowOff>57151</xdr:rowOff>
    </xdr:from>
    <xdr:to>
      <xdr:col>4</xdr:col>
      <xdr:colOff>57150</xdr:colOff>
      <xdr:row>700</xdr:row>
      <xdr:rowOff>9526</xdr:rowOff>
    </xdr:to>
    <xdr:sp macro="" textlink="">
      <xdr:nvSpPr>
        <xdr:cNvPr id="1184" name="Rectangle 1183">
          <a:extLst>
            <a:ext uri="{FF2B5EF4-FFF2-40B4-BE49-F238E27FC236}">
              <a16:creationId xmlns:a16="http://schemas.microsoft.com/office/drawing/2014/main" id="{464E69C2-BB02-4DCE-AB76-CD5B2B5DB952}"/>
            </a:ext>
          </a:extLst>
        </xdr:cNvPr>
        <xdr:cNvSpPr/>
      </xdr:nvSpPr>
      <xdr:spPr>
        <a:xfrm>
          <a:off x="85725" y="262985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702</xdr:row>
      <xdr:rowOff>76201</xdr:rowOff>
    </xdr:from>
    <xdr:to>
      <xdr:col>4</xdr:col>
      <xdr:colOff>57150</xdr:colOff>
      <xdr:row>706</xdr:row>
      <xdr:rowOff>38101</xdr:rowOff>
    </xdr:to>
    <xdr:sp macro="" textlink="">
      <xdr:nvSpPr>
        <xdr:cNvPr id="1185" name="Rectangle 1184">
          <a:extLst>
            <a:ext uri="{FF2B5EF4-FFF2-40B4-BE49-F238E27FC236}">
              <a16:creationId xmlns:a16="http://schemas.microsoft.com/office/drawing/2014/main" id="{376459D4-5DCF-4DDE-AFC8-B3EA954D5E74}"/>
            </a:ext>
          </a:extLst>
        </xdr:cNvPr>
        <xdr:cNvSpPr/>
      </xdr:nvSpPr>
      <xdr:spPr>
        <a:xfrm>
          <a:off x="85725" y="274796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708</xdr:row>
      <xdr:rowOff>123825</xdr:rowOff>
    </xdr:from>
    <xdr:to>
      <xdr:col>4</xdr:col>
      <xdr:colOff>76200</xdr:colOff>
      <xdr:row>717</xdr:row>
      <xdr:rowOff>9525</xdr:rowOff>
    </xdr:to>
    <xdr:sp macro="" textlink="">
      <xdr:nvSpPr>
        <xdr:cNvPr id="1186" name="Rectangle 1185">
          <a:extLst>
            <a:ext uri="{FF2B5EF4-FFF2-40B4-BE49-F238E27FC236}">
              <a16:creationId xmlns:a16="http://schemas.microsoft.com/office/drawing/2014/main" id="{2E3E6908-8E7A-43CE-8531-F211FDEB5F7E}"/>
            </a:ext>
          </a:extLst>
        </xdr:cNvPr>
        <xdr:cNvSpPr/>
      </xdr:nvSpPr>
      <xdr:spPr>
        <a:xfrm>
          <a:off x="104775" y="2867977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696</xdr:row>
      <xdr:rowOff>38100</xdr:rowOff>
    </xdr:from>
    <xdr:to>
      <xdr:col>8</xdr:col>
      <xdr:colOff>561975</xdr:colOff>
      <xdr:row>698</xdr:row>
      <xdr:rowOff>161925</xdr:rowOff>
    </xdr:to>
    <xdr:sp macro="" textlink="">
      <xdr:nvSpPr>
        <xdr:cNvPr id="1187" name="Rectangle 1186">
          <a:extLst>
            <a:ext uri="{FF2B5EF4-FFF2-40B4-BE49-F238E27FC236}">
              <a16:creationId xmlns:a16="http://schemas.microsoft.com/office/drawing/2014/main" id="{5308EA22-9CFC-424D-B4BD-CF84DE224E16}"/>
            </a:ext>
          </a:extLst>
        </xdr:cNvPr>
        <xdr:cNvSpPr/>
      </xdr:nvSpPr>
      <xdr:spPr>
        <a:xfrm>
          <a:off x="3028950" y="26279475"/>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700</xdr:row>
      <xdr:rowOff>76201</xdr:rowOff>
    </xdr:from>
    <xdr:to>
      <xdr:col>8</xdr:col>
      <xdr:colOff>561975</xdr:colOff>
      <xdr:row>704</xdr:row>
      <xdr:rowOff>38101</xdr:rowOff>
    </xdr:to>
    <xdr:sp macro="" textlink="">
      <xdr:nvSpPr>
        <xdr:cNvPr id="1189" name="Rectangle 1188">
          <a:extLst>
            <a:ext uri="{FF2B5EF4-FFF2-40B4-BE49-F238E27FC236}">
              <a16:creationId xmlns:a16="http://schemas.microsoft.com/office/drawing/2014/main" id="{81E0A653-84E9-4B9D-83B7-8F8CA517764C}"/>
            </a:ext>
          </a:extLst>
        </xdr:cNvPr>
        <xdr:cNvSpPr/>
      </xdr:nvSpPr>
      <xdr:spPr>
        <a:xfrm>
          <a:off x="3028950" y="27089101"/>
          <a:ext cx="240982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706</xdr:row>
      <xdr:rowOff>104775</xdr:rowOff>
    </xdr:from>
    <xdr:to>
      <xdr:col>8</xdr:col>
      <xdr:colOff>514350</xdr:colOff>
      <xdr:row>708</xdr:row>
      <xdr:rowOff>171450</xdr:rowOff>
    </xdr:to>
    <xdr:sp macro="" textlink="">
      <xdr:nvSpPr>
        <xdr:cNvPr id="1191" name="Rectangle 1190">
          <a:extLst>
            <a:ext uri="{FF2B5EF4-FFF2-40B4-BE49-F238E27FC236}">
              <a16:creationId xmlns:a16="http://schemas.microsoft.com/office/drawing/2014/main" id="{E86D405F-4EA0-4C97-AC19-734A6C3BF089}"/>
            </a:ext>
          </a:extLst>
        </xdr:cNvPr>
        <xdr:cNvSpPr/>
      </xdr:nvSpPr>
      <xdr:spPr>
        <a:xfrm>
          <a:off x="3019426" y="28270200"/>
          <a:ext cx="2371724"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710</xdr:row>
      <xdr:rowOff>28575</xdr:rowOff>
    </xdr:from>
    <xdr:to>
      <xdr:col>6</xdr:col>
      <xdr:colOff>171449</xdr:colOff>
      <xdr:row>711</xdr:row>
      <xdr:rowOff>171450</xdr:rowOff>
    </xdr:to>
    <xdr:sp macro="" textlink="">
      <xdr:nvSpPr>
        <xdr:cNvPr id="1192" name="Rectangle 1191">
          <a:extLst>
            <a:ext uri="{FF2B5EF4-FFF2-40B4-BE49-F238E27FC236}">
              <a16:creationId xmlns:a16="http://schemas.microsoft.com/office/drawing/2014/main" id="{839B08C8-DED0-4750-BA52-23E71F89D71D}"/>
            </a:ext>
          </a:extLst>
        </xdr:cNvPr>
        <xdr:cNvSpPr/>
      </xdr:nvSpPr>
      <xdr:spPr>
        <a:xfrm>
          <a:off x="3067050" y="2896552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9</xdr:col>
      <xdr:colOff>161925</xdr:colOff>
      <xdr:row>696</xdr:row>
      <xdr:rowOff>47625</xdr:rowOff>
    </xdr:from>
    <xdr:to>
      <xdr:col>13</xdr:col>
      <xdr:colOff>514350</xdr:colOff>
      <xdr:row>726</xdr:row>
      <xdr:rowOff>19050</xdr:rowOff>
    </xdr:to>
    <xdr:sp macro="" textlink="">
      <xdr:nvSpPr>
        <xdr:cNvPr id="1195" name="Rectangle 1194">
          <a:extLst>
            <a:ext uri="{FF2B5EF4-FFF2-40B4-BE49-F238E27FC236}">
              <a16:creationId xmlns:a16="http://schemas.microsoft.com/office/drawing/2014/main" id="{E7EAB023-E074-4F05-9330-F7B11ABABD48}"/>
            </a:ext>
          </a:extLst>
        </xdr:cNvPr>
        <xdr:cNvSpPr/>
      </xdr:nvSpPr>
      <xdr:spPr>
        <a:xfrm>
          <a:off x="5648325" y="26289000"/>
          <a:ext cx="2790825" cy="5715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a:t>The OHCA Annual Convention &amp; Trade Show aims to unite professionals from Oregon's long-term care sector to share knowledge, explore innovative strategies, and enhance the quality of care provided to residents. The event focuses on education, networking, and showcasing the latest products and services in the industry.​</a:t>
          </a:r>
        </a:p>
        <a:p>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r>
            <a:rPr lang="en-US" b="0"/>
            <a:t>Scheduled for September 23-24, 2025, at the Oregon Convention Center in Portland, OR, this two-day convention offers:​</a:t>
          </a:r>
        </a:p>
        <a:p>
          <a:endParaRPr lang="en-US" b="0"/>
        </a:p>
        <a:p>
          <a:r>
            <a:rPr lang="en-US" b="0"/>
            <a:t>-</a:t>
          </a:r>
          <a:r>
            <a:rPr lang="en-US" b="0" baseline="0"/>
            <a:t> </a:t>
          </a:r>
          <a:r>
            <a:rPr lang="en-US" b="0"/>
            <a:t>Educational Sessions: Covering topics relevant to long-term care professionals.​</a:t>
          </a:r>
        </a:p>
        <a:p>
          <a:r>
            <a:rPr lang="en-US" b="0"/>
            <a:t>- Trade Show: Featuring exhibitors showcasing products and services tailored for the long-term care industry.​</a:t>
          </a:r>
        </a:p>
        <a:p>
          <a:r>
            <a:rPr lang="en-US" b="0"/>
            <a:t>- Networking Opportunities: Facilitating connections among peers, industry leaders, and vendors.​</a:t>
          </a:r>
        </a:p>
        <a:p>
          <a:r>
            <a:rPr lang="en-US" b="0"/>
            <a:t>- Awards Ceremony: Recognizing outstanding service in the long-term care sector</a:t>
          </a:r>
        </a:p>
        <a:p>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777 NE M L King Blvd,</a:t>
          </a:r>
          <a:r>
            <a:rPr lang="en-US" sz="1100" b="0" i="0" baseline="0">
              <a:solidFill>
                <a:schemeClr val="lt1"/>
              </a:solidFill>
              <a:effectLst/>
              <a:latin typeface="+mn-lt"/>
              <a:ea typeface="+mn-ea"/>
              <a:cs typeface="+mn-cs"/>
            </a:rPr>
            <a:t> Portland, OR 97232</a:t>
          </a:r>
        </a:p>
        <a:p>
          <a:pPr algn="l"/>
          <a:endParaRPr lang="en-US" sz="1100" b="0" i="0" baseline="0">
            <a:solidFill>
              <a:schemeClr val="lt1"/>
            </a:solidFill>
            <a:effectLst/>
            <a:latin typeface="+mn-lt"/>
            <a:ea typeface="+mn-ea"/>
            <a:cs typeface="+mn-cs"/>
          </a:endParaRPr>
        </a:p>
        <a:p>
          <a:pPr algn="l"/>
          <a:r>
            <a:rPr lang="en-US" sz="1100" b="0" i="0" baseline="0">
              <a:solidFill>
                <a:schemeClr val="lt1"/>
              </a:solidFill>
              <a:effectLst/>
              <a:latin typeface="+mn-lt"/>
              <a:ea typeface="+mn-ea"/>
              <a:cs typeface="+mn-cs"/>
            </a:rPr>
            <a:t>Additional Information: The Association is very against recruiting for these events. Therefore, this is more of an educational conference.</a:t>
          </a:r>
          <a:endParaRPr lang="en-US" sz="1100"/>
        </a:p>
      </xdr:txBody>
    </xdr:sp>
    <xdr:clientData/>
  </xdr:twoCellAnchor>
  <xdr:twoCellAnchor>
    <xdr:from>
      <xdr:col>0</xdr:col>
      <xdr:colOff>76199</xdr:colOff>
      <xdr:row>718</xdr:row>
      <xdr:rowOff>38101</xdr:rowOff>
    </xdr:from>
    <xdr:to>
      <xdr:col>4</xdr:col>
      <xdr:colOff>342900</xdr:colOff>
      <xdr:row>727</xdr:row>
      <xdr:rowOff>1</xdr:rowOff>
    </xdr:to>
    <xdr:sp macro="" textlink="">
      <xdr:nvSpPr>
        <xdr:cNvPr id="1196" name="Rectangle 1195">
          <a:extLst>
            <a:ext uri="{FF2B5EF4-FFF2-40B4-BE49-F238E27FC236}">
              <a16:creationId xmlns:a16="http://schemas.microsoft.com/office/drawing/2014/main" id="{AD4265C4-F722-43F9-9CFA-4FC8657F3603}"/>
            </a:ext>
          </a:extLst>
        </xdr:cNvPr>
        <xdr:cNvSpPr/>
      </xdr:nvSpPr>
      <xdr:spPr>
        <a:xfrm>
          <a:off x="76199" y="30499051"/>
          <a:ext cx="2705101" cy="1676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OHCA Provider</a:t>
          </a:r>
          <a:r>
            <a:rPr lang="en-US" sz="1100" b="0" i="0" baseline="0">
              <a:solidFill>
                <a:schemeClr val="lt1"/>
              </a:solidFill>
              <a:effectLst/>
              <a:latin typeface="+mn-lt"/>
              <a:ea typeface="+mn-ea"/>
              <a:cs typeface="+mn-cs"/>
            </a:rPr>
            <a:t> or Operator Member: $399</a:t>
          </a:r>
        </a:p>
        <a:p>
          <a:r>
            <a:rPr lang="en-US" sz="1100" b="0" i="0">
              <a:solidFill>
                <a:schemeClr val="lt1"/>
              </a:solidFill>
              <a:effectLst/>
              <a:latin typeface="+mn-lt"/>
              <a:ea typeface="+mn-ea"/>
              <a:cs typeface="+mn-cs"/>
            </a:rPr>
            <a:t>Non-Member: $529</a:t>
          </a:r>
        </a:p>
        <a:p>
          <a:r>
            <a:rPr lang="en-US" sz="1100" b="0" i="0">
              <a:solidFill>
                <a:schemeClr val="lt1"/>
              </a:solidFill>
              <a:effectLst/>
              <a:latin typeface="+mn-lt"/>
              <a:ea typeface="+mn-ea"/>
              <a:cs typeface="+mn-cs"/>
            </a:rPr>
            <a:t>Exhibitor</a:t>
          </a:r>
          <a:r>
            <a:rPr lang="en-US" sz="1100" b="0" i="0" baseline="0">
              <a:solidFill>
                <a:schemeClr val="lt1"/>
              </a:solidFill>
              <a:effectLst/>
              <a:latin typeface="+mn-lt"/>
              <a:ea typeface="+mn-ea"/>
              <a:cs typeface="+mn-cs"/>
            </a:rPr>
            <a:t> booth pricing varies: </a:t>
          </a:r>
        </a:p>
        <a:p>
          <a:r>
            <a:rPr lang="en-US" sz="1100" b="0" i="0" baseline="0">
              <a:solidFill>
                <a:schemeClr val="lt1"/>
              </a:solidFill>
              <a:effectLst/>
              <a:latin typeface="+mn-lt"/>
              <a:ea typeface="+mn-ea"/>
              <a:cs typeface="+mn-cs"/>
            </a:rPr>
            <a:t>Premium: $1,500 (Members); $3,000 (Non-Members)</a:t>
          </a:r>
        </a:p>
        <a:p>
          <a:r>
            <a:rPr lang="en-US" sz="1100" b="0" i="0" baseline="0">
              <a:solidFill>
                <a:schemeClr val="lt1"/>
              </a:solidFill>
              <a:effectLst/>
              <a:latin typeface="+mn-lt"/>
              <a:ea typeface="+mn-ea"/>
              <a:cs typeface="+mn-cs"/>
            </a:rPr>
            <a:t>General: $1,300 (Members); $2,600 (Non-Members) </a:t>
          </a:r>
        </a:p>
        <a:p>
          <a:r>
            <a:rPr lang="en-US" sz="1100" b="0" i="0" baseline="0">
              <a:solidFill>
                <a:schemeClr val="lt1"/>
              </a:solidFill>
              <a:effectLst/>
              <a:latin typeface="+mn-lt"/>
              <a:ea typeface="+mn-ea"/>
              <a:cs typeface="+mn-cs"/>
            </a:rPr>
            <a:t>Economy: $1,100 (Members); $2,200 (Non-Members)</a:t>
          </a:r>
          <a:endParaRPr lang="en-US" sz="1100" b="0" i="0">
            <a:solidFill>
              <a:schemeClr val="lt1"/>
            </a:solidFill>
            <a:effectLst/>
            <a:latin typeface="+mn-lt"/>
            <a:ea typeface="+mn-ea"/>
            <a:cs typeface="+mn-cs"/>
          </a:endParaRPr>
        </a:p>
      </xdr:txBody>
    </xdr:sp>
    <xdr:clientData/>
  </xdr:twoCellAnchor>
  <xdr:twoCellAnchor>
    <xdr:from>
      <xdr:col>4</xdr:col>
      <xdr:colOff>561975</xdr:colOff>
      <xdr:row>713</xdr:row>
      <xdr:rowOff>47626</xdr:rowOff>
    </xdr:from>
    <xdr:to>
      <xdr:col>9</xdr:col>
      <xdr:colOff>1</xdr:colOff>
      <xdr:row>727</xdr:row>
      <xdr:rowOff>133350</xdr:rowOff>
    </xdr:to>
    <xdr:sp macro="" textlink="">
      <xdr:nvSpPr>
        <xdr:cNvPr id="1199" name="Rectangle 1198">
          <a:extLst>
            <a:ext uri="{FF2B5EF4-FFF2-40B4-BE49-F238E27FC236}">
              <a16:creationId xmlns:a16="http://schemas.microsoft.com/office/drawing/2014/main" id="{9BD6CFCA-EC6E-46B5-9AFA-C3743A2E7AED}"/>
            </a:ext>
          </a:extLst>
        </xdr:cNvPr>
        <xdr:cNvSpPr/>
      </xdr:nvSpPr>
      <xdr:spPr>
        <a:xfrm>
          <a:off x="3000375" y="29556076"/>
          <a:ext cx="2486026" cy="27527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0"/>
            <a:t>Owners/Operators: Individuals overseeing long-term care facilities.​</a:t>
          </a:r>
        </a:p>
        <a:p>
          <a:endParaRPr lang="en-US" b="0"/>
        </a:p>
        <a:p>
          <a:r>
            <a:rPr lang="en-US" b="0"/>
            <a:t>Administrators/Executive Directors: Leadership managing facility operations.​</a:t>
          </a:r>
        </a:p>
        <a:p>
          <a:endParaRPr lang="en-US" b="0"/>
        </a:p>
        <a:p>
          <a:r>
            <a:rPr lang="en-US" b="0"/>
            <a:t>Clinical Leaders: Directors of Nursing, Assistant Directors of Nursing, and other senior clinical staff.​</a:t>
          </a:r>
        </a:p>
        <a:p>
          <a:endParaRPr lang="en-US" b="0"/>
        </a:p>
        <a:p>
          <a:r>
            <a:rPr lang="en-US" b="0"/>
            <a:t>Department Directors: Heads of various departments within care facilities.​</a:t>
          </a:r>
        </a:p>
        <a:p>
          <a:endParaRPr lang="en-US" b="0"/>
        </a:p>
        <a:p>
          <a:r>
            <a:rPr lang="en-US" b="0"/>
            <a:t>Facility Staff: Personnel involved in day-to-day resident care and services.</a:t>
          </a:r>
        </a:p>
      </xdr:txBody>
    </xdr:sp>
    <xdr:clientData/>
  </xdr:twoCellAnchor>
  <xdr:twoCellAnchor>
    <xdr:from>
      <xdr:col>0</xdr:col>
      <xdr:colOff>28575</xdr:colOff>
      <xdr:row>728</xdr:row>
      <xdr:rowOff>38099</xdr:rowOff>
    </xdr:from>
    <xdr:to>
      <xdr:col>9</xdr:col>
      <xdr:colOff>276225</xdr:colOff>
      <xdr:row>731</xdr:row>
      <xdr:rowOff>38100</xdr:rowOff>
    </xdr:to>
    <xdr:sp macro="" textlink="">
      <xdr:nvSpPr>
        <xdr:cNvPr id="1200" name="Rectangle 1199">
          <a:extLst>
            <a:ext uri="{FF2B5EF4-FFF2-40B4-BE49-F238E27FC236}">
              <a16:creationId xmlns:a16="http://schemas.microsoft.com/office/drawing/2014/main" id="{1A280C7B-7AB0-45BA-8A2C-783BF2B61E78}"/>
            </a:ext>
          </a:extLst>
        </xdr:cNvPr>
        <xdr:cNvSpPr/>
      </xdr:nvSpPr>
      <xdr:spPr>
        <a:xfrm>
          <a:off x="28575" y="142351124"/>
          <a:ext cx="5734050" cy="5715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Aleca</a:t>
          </a:r>
          <a:r>
            <a:rPr lang="en-US" sz="1100" b="0" i="0">
              <a:solidFill>
                <a:schemeClr val="lt1"/>
              </a:solidFill>
              <a:effectLst/>
              <a:latin typeface="+mn-lt"/>
              <a:ea typeface="+mn-ea"/>
              <a:cs typeface="+mn-cs"/>
            </a:rPr>
            <a:t> - </a:t>
          </a:r>
          <a:r>
            <a:rPr lang="en-US"/>
            <a:t>Providing home health and hospice services, Aleca may find value in attending sessions related to post-acute care and transitions between care settings. </a:t>
          </a:r>
          <a:r>
            <a:rPr lang="en-US" b="1"/>
            <a:t>Alante</a:t>
          </a:r>
        </a:p>
        <a:p>
          <a:pPr algn="l"/>
          <a:r>
            <a:rPr lang="en-US" sz="1100"/>
            <a:t>`</a:t>
          </a:r>
        </a:p>
      </xdr:txBody>
    </xdr:sp>
    <xdr:clientData/>
  </xdr:twoCellAnchor>
  <xdr:twoCellAnchor>
    <xdr:from>
      <xdr:col>9</xdr:col>
      <xdr:colOff>419100</xdr:colOff>
      <xdr:row>727</xdr:row>
      <xdr:rowOff>85725</xdr:rowOff>
    </xdr:from>
    <xdr:to>
      <xdr:col>13</xdr:col>
      <xdr:colOff>390525</xdr:colOff>
      <xdr:row>730</xdr:row>
      <xdr:rowOff>161925</xdr:rowOff>
    </xdr:to>
    <xdr:sp macro="" textlink="">
      <xdr:nvSpPr>
        <xdr:cNvPr id="1202" name="Rectangle 1201">
          <a:hlinkClick xmlns:r="http://schemas.openxmlformats.org/officeDocument/2006/relationships" r:id="rId38"/>
          <a:extLst>
            <a:ext uri="{FF2B5EF4-FFF2-40B4-BE49-F238E27FC236}">
              <a16:creationId xmlns:a16="http://schemas.microsoft.com/office/drawing/2014/main" id="{22E62DFE-5F4E-46A5-B8A6-D0B327A5BB68}"/>
            </a:ext>
          </a:extLst>
        </xdr:cNvPr>
        <xdr:cNvSpPr/>
      </xdr:nvSpPr>
      <xdr:spPr>
        <a:xfrm>
          <a:off x="5905500" y="32261175"/>
          <a:ext cx="2409825" cy="647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OHCA Member Portal</a:t>
          </a:r>
          <a:endParaRPr lang="en-US" sz="1100">
            <a:solidFill>
              <a:schemeClr val="bg1"/>
            </a:solidFill>
          </a:endParaRPr>
        </a:p>
      </xdr:txBody>
    </xdr:sp>
    <xdr:clientData/>
  </xdr:twoCellAnchor>
  <xdr:twoCellAnchor>
    <xdr:from>
      <xdr:col>0</xdr:col>
      <xdr:colOff>95250</xdr:colOff>
      <xdr:row>736</xdr:row>
      <xdr:rowOff>95250</xdr:rowOff>
    </xdr:from>
    <xdr:to>
      <xdr:col>0</xdr:col>
      <xdr:colOff>438150</xdr:colOff>
      <xdr:row>738</xdr:row>
      <xdr:rowOff>28575</xdr:rowOff>
    </xdr:to>
    <xdr:sp macro="" textlink="">
      <xdr:nvSpPr>
        <xdr:cNvPr id="1203" name="Star: 5 Points 1202">
          <a:extLst>
            <a:ext uri="{FF2B5EF4-FFF2-40B4-BE49-F238E27FC236}">
              <a16:creationId xmlns:a16="http://schemas.microsoft.com/office/drawing/2014/main" id="{5B52D17A-C07F-4826-810F-ECE8D2A84FA4}"/>
            </a:ext>
          </a:extLst>
        </xdr:cNvPr>
        <xdr:cNvSpPr/>
      </xdr:nvSpPr>
      <xdr:spPr>
        <a:xfrm>
          <a:off x="95250" y="434625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736</xdr:row>
      <xdr:rowOff>114300</xdr:rowOff>
    </xdr:from>
    <xdr:to>
      <xdr:col>1</xdr:col>
      <xdr:colOff>247650</xdr:colOff>
      <xdr:row>738</xdr:row>
      <xdr:rowOff>47625</xdr:rowOff>
    </xdr:to>
    <xdr:sp macro="" textlink="">
      <xdr:nvSpPr>
        <xdr:cNvPr id="1205" name="Star: 5 Points 1204">
          <a:extLst>
            <a:ext uri="{FF2B5EF4-FFF2-40B4-BE49-F238E27FC236}">
              <a16:creationId xmlns:a16="http://schemas.microsoft.com/office/drawing/2014/main" id="{561C49F3-7871-412B-B959-7D65AF9F116E}"/>
            </a:ext>
          </a:extLst>
        </xdr:cNvPr>
        <xdr:cNvSpPr/>
      </xdr:nvSpPr>
      <xdr:spPr>
        <a:xfrm>
          <a:off x="514350" y="434816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736</xdr:row>
      <xdr:rowOff>114300</xdr:rowOff>
    </xdr:from>
    <xdr:to>
      <xdr:col>2</xdr:col>
      <xdr:colOff>76200</xdr:colOff>
      <xdr:row>738</xdr:row>
      <xdr:rowOff>47625</xdr:rowOff>
    </xdr:to>
    <xdr:sp macro="" textlink="">
      <xdr:nvSpPr>
        <xdr:cNvPr id="1206" name="Star: 5 Points 1205">
          <a:extLst>
            <a:ext uri="{FF2B5EF4-FFF2-40B4-BE49-F238E27FC236}">
              <a16:creationId xmlns:a16="http://schemas.microsoft.com/office/drawing/2014/main" id="{4D66844A-7FD8-432C-9857-F1009303B2C9}"/>
            </a:ext>
          </a:extLst>
        </xdr:cNvPr>
        <xdr:cNvSpPr/>
      </xdr:nvSpPr>
      <xdr:spPr>
        <a:xfrm>
          <a:off x="952500" y="434816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736</xdr:row>
      <xdr:rowOff>114300</xdr:rowOff>
    </xdr:from>
    <xdr:to>
      <xdr:col>2</xdr:col>
      <xdr:colOff>523875</xdr:colOff>
      <xdr:row>738</xdr:row>
      <xdr:rowOff>47625</xdr:rowOff>
    </xdr:to>
    <xdr:sp macro="" textlink="">
      <xdr:nvSpPr>
        <xdr:cNvPr id="1207" name="Star: 5 Points 1206">
          <a:extLst>
            <a:ext uri="{FF2B5EF4-FFF2-40B4-BE49-F238E27FC236}">
              <a16:creationId xmlns:a16="http://schemas.microsoft.com/office/drawing/2014/main" id="{77427220-C6CF-4579-95E2-BD0C7A6268DE}"/>
            </a:ext>
          </a:extLst>
        </xdr:cNvPr>
        <xdr:cNvSpPr/>
      </xdr:nvSpPr>
      <xdr:spPr>
        <a:xfrm>
          <a:off x="1400175" y="434816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736</xdr:row>
      <xdr:rowOff>123825</xdr:rowOff>
    </xdr:from>
    <xdr:to>
      <xdr:col>3</xdr:col>
      <xdr:colOff>342900</xdr:colOff>
      <xdr:row>738</xdr:row>
      <xdr:rowOff>57150</xdr:rowOff>
    </xdr:to>
    <xdr:sp macro="" textlink="">
      <xdr:nvSpPr>
        <xdr:cNvPr id="1208" name="Star: 5 Points 1207">
          <a:extLst>
            <a:ext uri="{FF2B5EF4-FFF2-40B4-BE49-F238E27FC236}">
              <a16:creationId xmlns:a16="http://schemas.microsoft.com/office/drawing/2014/main" id="{36E8BA16-F9CD-4FA3-B9F5-38B8F8DCFD67}"/>
            </a:ext>
          </a:extLst>
        </xdr:cNvPr>
        <xdr:cNvSpPr/>
      </xdr:nvSpPr>
      <xdr:spPr>
        <a:xfrm>
          <a:off x="1828800" y="434911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740</xdr:row>
      <xdr:rowOff>57151</xdr:rowOff>
    </xdr:from>
    <xdr:to>
      <xdr:col>4</xdr:col>
      <xdr:colOff>57150</xdr:colOff>
      <xdr:row>744</xdr:row>
      <xdr:rowOff>9526</xdr:rowOff>
    </xdr:to>
    <xdr:sp macro="" textlink="">
      <xdr:nvSpPr>
        <xdr:cNvPr id="1209" name="Rectangle 1208">
          <a:extLst>
            <a:ext uri="{FF2B5EF4-FFF2-40B4-BE49-F238E27FC236}">
              <a16:creationId xmlns:a16="http://schemas.microsoft.com/office/drawing/2014/main" id="{AD0ECBDA-5A09-4F64-872B-0EA91F15CF1A}"/>
            </a:ext>
          </a:extLst>
        </xdr:cNvPr>
        <xdr:cNvSpPr/>
      </xdr:nvSpPr>
      <xdr:spPr>
        <a:xfrm>
          <a:off x="85725" y="441960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746</xdr:row>
      <xdr:rowOff>76201</xdr:rowOff>
    </xdr:from>
    <xdr:to>
      <xdr:col>4</xdr:col>
      <xdr:colOff>57150</xdr:colOff>
      <xdr:row>750</xdr:row>
      <xdr:rowOff>38101</xdr:rowOff>
    </xdr:to>
    <xdr:sp macro="" textlink="">
      <xdr:nvSpPr>
        <xdr:cNvPr id="1210" name="Rectangle 1209">
          <a:extLst>
            <a:ext uri="{FF2B5EF4-FFF2-40B4-BE49-F238E27FC236}">
              <a16:creationId xmlns:a16="http://schemas.microsoft.com/office/drawing/2014/main" id="{29ACB553-5901-45A8-BE30-31441BEECDB9}"/>
            </a:ext>
          </a:extLst>
        </xdr:cNvPr>
        <xdr:cNvSpPr/>
      </xdr:nvSpPr>
      <xdr:spPr>
        <a:xfrm>
          <a:off x="85725" y="453771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752</xdr:row>
      <xdr:rowOff>114300</xdr:rowOff>
    </xdr:from>
    <xdr:to>
      <xdr:col>4</xdr:col>
      <xdr:colOff>485775</xdr:colOff>
      <xdr:row>759</xdr:row>
      <xdr:rowOff>95250</xdr:rowOff>
    </xdr:to>
    <xdr:sp macro="" textlink="">
      <xdr:nvSpPr>
        <xdr:cNvPr id="1211" name="Rectangle 1210">
          <a:extLst>
            <a:ext uri="{FF2B5EF4-FFF2-40B4-BE49-F238E27FC236}">
              <a16:creationId xmlns:a16="http://schemas.microsoft.com/office/drawing/2014/main" id="{575E810C-1AB7-42C8-92D4-F096875AC701}"/>
            </a:ext>
          </a:extLst>
        </xdr:cNvPr>
        <xdr:cNvSpPr/>
      </xdr:nvSpPr>
      <xdr:spPr>
        <a:xfrm>
          <a:off x="133350" y="46567725"/>
          <a:ext cx="2790825" cy="1314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740</xdr:row>
      <xdr:rowOff>38100</xdr:rowOff>
    </xdr:from>
    <xdr:to>
      <xdr:col>8</xdr:col>
      <xdr:colOff>333375</xdr:colOff>
      <xdr:row>742</xdr:row>
      <xdr:rowOff>161925</xdr:rowOff>
    </xdr:to>
    <xdr:sp macro="" textlink="">
      <xdr:nvSpPr>
        <xdr:cNvPr id="1212" name="Rectangle 1211">
          <a:extLst>
            <a:ext uri="{FF2B5EF4-FFF2-40B4-BE49-F238E27FC236}">
              <a16:creationId xmlns:a16="http://schemas.microsoft.com/office/drawing/2014/main" id="{87D68492-1927-4B84-A69C-ED6596F899FA}"/>
            </a:ext>
          </a:extLst>
        </xdr:cNvPr>
        <xdr:cNvSpPr/>
      </xdr:nvSpPr>
      <xdr:spPr>
        <a:xfrm>
          <a:off x="3028950" y="44176950"/>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744</xdr:row>
      <xdr:rowOff>76201</xdr:rowOff>
    </xdr:from>
    <xdr:to>
      <xdr:col>8</xdr:col>
      <xdr:colOff>352425</xdr:colOff>
      <xdr:row>748</xdr:row>
      <xdr:rowOff>38101</xdr:rowOff>
    </xdr:to>
    <xdr:sp macro="" textlink="">
      <xdr:nvSpPr>
        <xdr:cNvPr id="1213" name="Rectangle 1212">
          <a:extLst>
            <a:ext uri="{FF2B5EF4-FFF2-40B4-BE49-F238E27FC236}">
              <a16:creationId xmlns:a16="http://schemas.microsoft.com/office/drawing/2014/main" id="{D006C03C-5D01-4F49-832F-F662A0C65EA3}"/>
            </a:ext>
          </a:extLst>
        </xdr:cNvPr>
        <xdr:cNvSpPr/>
      </xdr:nvSpPr>
      <xdr:spPr>
        <a:xfrm>
          <a:off x="3028950" y="44986576"/>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750</xdr:row>
      <xdr:rowOff>104775</xdr:rowOff>
    </xdr:from>
    <xdr:to>
      <xdr:col>8</xdr:col>
      <xdr:colOff>352425</xdr:colOff>
      <xdr:row>752</xdr:row>
      <xdr:rowOff>171450</xdr:rowOff>
    </xdr:to>
    <xdr:sp macro="" textlink="">
      <xdr:nvSpPr>
        <xdr:cNvPr id="1214" name="Rectangle 1213">
          <a:extLst>
            <a:ext uri="{FF2B5EF4-FFF2-40B4-BE49-F238E27FC236}">
              <a16:creationId xmlns:a16="http://schemas.microsoft.com/office/drawing/2014/main" id="{6D9D5142-5577-4276-A972-BF634DB0D3B2}"/>
            </a:ext>
          </a:extLst>
        </xdr:cNvPr>
        <xdr:cNvSpPr/>
      </xdr:nvSpPr>
      <xdr:spPr>
        <a:xfrm>
          <a:off x="3019426" y="46167675"/>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6</xdr:col>
      <xdr:colOff>104775</xdr:colOff>
      <xdr:row>754</xdr:row>
      <xdr:rowOff>47625</xdr:rowOff>
    </xdr:from>
    <xdr:to>
      <xdr:col>7</xdr:col>
      <xdr:colOff>257174</xdr:colOff>
      <xdr:row>756</xdr:row>
      <xdr:rowOff>0</xdr:rowOff>
    </xdr:to>
    <xdr:sp macro="" textlink="">
      <xdr:nvSpPr>
        <xdr:cNvPr id="1215" name="Rectangle 1214">
          <a:extLst>
            <a:ext uri="{FF2B5EF4-FFF2-40B4-BE49-F238E27FC236}">
              <a16:creationId xmlns:a16="http://schemas.microsoft.com/office/drawing/2014/main" id="{48BE543F-A1B1-465D-A805-2432830EA4B2}"/>
            </a:ext>
          </a:extLst>
        </xdr:cNvPr>
        <xdr:cNvSpPr/>
      </xdr:nvSpPr>
      <xdr:spPr>
        <a:xfrm>
          <a:off x="3762375" y="46882050"/>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400-600</a:t>
          </a:r>
        </a:p>
      </xdr:txBody>
    </xdr:sp>
    <xdr:clientData/>
  </xdr:twoCellAnchor>
  <xdr:twoCellAnchor>
    <xdr:from>
      <xdr:col>9</xdr:col>
      <xdr:colOff>285751</xdr:colOff>
      <xdr:row>736</xdr:row>
      <xdr:rowOff>180974</xdr:rowOff>
    </xdr:from>
    <xdr:to>
      <xdr:col>13</xdr:col>
      <xdr:colOff>552451</xdr:colOff>
      <xdr:row>771</xdr:row>
      <xdr:rowOff>161925</xdr:rowOff>
    </xdr:to>
    <xdr:sp macro="" textlink="">
      <xdr:nvSpPr>
        <xdr:cNvPr id="1216" name="Rectangle 1215">
          <a:extLst>
            <a:ext uri="{FF2B5EF4-FFF2-40B4-BE49-F238E27FC236}">
              <a16:creationId xmlns:a16="http://schemas.microsoft.com/office/drawing/2014/main" id="{705A5A46-3741-4F57-BB76-4E75E6442E66}"/>
            </a:ext>
          </a:extLst>
        </xdr:cNvPr>
        <xdr:cNvSpPr/>
      </xdr:nvSpPr>
      <xdr:spPr>
        <a:xfrm>
          <a:off x="5772151" y="43548299"/>
          <a:ext cx="2705100" cy="66865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a:t>The </a:t>
          </a:r>
          <a:r>
            <a:rPr lang="en-US" b="1"/>
            <a:t>WHCA Annual Convention</a:t>
          </a:r>
          <a:r>
            <a:rPr lang="en-US"/>
            <a:t> aims to unite long-term care professionals to share knowledge, discuss industry challenges, and explore solutions that enhance the quality of care in skilled nursing and assisted living facilities throughout Washington state. ​</a:t>
          </a:r>
          <a:endParaRPr lang="en-US" sz="1100" b="1"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r>
            <a:rPr lang="en-US"/>
            <a:t>The convention spans three days and features:​</a:t>
          </a:r>
        </a:p>
        <a:p>
          <a:r>
            <a:rPr lang="en-US" b="1"/>
            <a:t>Educational Sessions</a:t>
          </a:r>
          <a:r>
            <a:rPr lang="en-US"/>
            <a:t>: Covering topics such as clinical practices, leadership, regulatory/legal issues, and quality improvement. ​</a:t>
          </a:r>
        </a:p>
        <a:p>
          <a:endParaRPr lang="en-US"/>
        </a:p>
        <a:p>
          <a:r>
            <a:rPr lang="en-US" b="1"/>
            <a:t>Keynote Presentations</a:t>
          </a:r>
          <a:r>
            <a:rPr lang="en-US"/>
            <a:t>: Insights from industry leaders on current trends and future directions in long-term care.​</a:t>
          </a:r>
        </a:p>
        <a:p>
          <a:endParaRPr lang="en-US"/>
        </a:p>
        <a:p>
          <a:r>
            <a:rPr lang="en-US" b="1"/>
            <a:t>Networking Opportunities</a:t>
          </a:r>
          <a:r>
            <a:rPr lang="en-US"/>
            <a:t>: Including a Welcome Reception, Dine-Around events, and the PAC Bowl-a-Rama fundraiser.​</a:t>
          </a:r>
        </a:p>
        <a:p>
          <a:endParaRPr lang="en-US" b="1"/>
        </a:p>
        <a:p>
          <a:r>
            <a:rPr lang="en-US" b="1"/>
            <a:t>Trade Show Exhibition</a:t>
          </a:r>
          <a:r>
            <a:rPr lang="en-US"/>
            <a:t>: Showcasing products and services from various vendors relevant to long-term care facilities. ​</a:t>
          </a:r>
        </a:p>
        <a:p>
          <a:endParaRPr lang="en-US"/>
        </a:p>
        <a:p>
          <a:r>
            <a:rPr lang="en-US" b="1"/>
            <a:t>Awards Luncheon</a:t>
          </a:r>
          <a:r>
            <a:rPr lang="en-US"/>
            <a:t>: Recognizing outstanding service within the long-term care community. </a:t>
          </a:r>
          <a:endParaRPr lang="en-US" sz="1100" b="0" i="0">
            <a:solidFill>
              <a:schemeClr val="lt1"/>
            </a:solidFill>
            <a:effectLst/>
            <a:latin typeface="+mn-lt"/>
            <a:ea typeface="+mn-ea"/>
            <a:cs typeface="+mn-cs"/>
          </a:endParaRPr>
        </a:p>
        <a:p>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b="1"/>
            <a:t>Marriott Tacoma Downtown</a:t>
          </a:r>
          <a:br>
            <a:rPr lang="en-US"/>
          </a:br>
          <a:r>
            <a:rPr lang="en-US"/>
            <a:t>1538 Commerce Street</a:t>
          </a:r>
          <a:br>
            <a:rPr lang="en-US"/>
          </a:br>
          <a:r>
            <a:rPr lang="en-US"/>
            <a:t>Tacoma, WA 98402</a:t>
          </a:r>
          <a:endParaRPr lang="en-US" sz="1100" b="0" i="0">
            <a:solidFill>
              <a:schemeClr val="lt1"/>
            </a:solidFill>
            <a:effectLst/>
            <a:latin typeface="+mn-lt"/>
            <a:ea typeface="+mn-ea"/>
            <a:cs typeface="+mn-cs"/>
          </a:endParaRPr>
        </a:p>
        <a:p>
          <a:pPr algn="l"/>
          <a:endParaRPr lang="en-US" sz="1100" b="0" i="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i="0" baseline="0">
              <a:solidFill>
                <a:schemeClr val="lt1"/>
              </a:solidFill>
              <a:effectLst/>
              <a:latin typeface="+mn-lt"/>
              <a:ea typeface="+mn-ea"/>
              <a:cs typeface="+mn-cs"/>
            </a:rPr>
            <a:t>Additional Information: </a:t>
          </a:r>
          <a:r>
            <a:rPr lang="en-US" sz="1100" b="0" i="0" baseline="0">
              <a:solidFill>
                <a:schemeClr val="lt1"/>
              </a:solidFill>
              <a:effectLst/>
              <a:latin typeface="+mn-lt"/>
              <a:ea typeface="+mn-ea"/>
              <a:cs typeface="+mn-cs"/>
            </a:rPr>
            <a:t>The Association is very against recruiting for these events. Therefore, this is more of an educational conference.</a:t>
          </a:r>
          <a:endParaRPr lang="en-US">
            <a:effectLst/>
          </a:endParaRPr>
        </a:p>
        <a:p>
          <a:pPr algn="l"/>
          <a:endParaRPr lang="en-US" sz="1100"/>
        </a:p>
      </xdr:txBody>
    </xdr:sp>
    <xdr:clientData/>
  </xdr:twoCellAnchor>
  <xdr:twoCellAnchor>
    <xdr:from>
      <xdr:col>0</xdr:col>
      <xdr:colOff>0</xdr:colOff>
      <xdr:row>761</xdr:row>
      <xdr:rowOff>28574</xdr:rowOff>
    </xdr:from>
    <xdr:to>
      <xdr:col>6</xdr:col>
      <xdr:colOff>495302</xdr:colOff>
      <xdr:row>774</xdr:row>
      <xdr:rowOff>171449</xdr:rowOff>
    </xdr:to>
    <xdr:sp macro="" textlink="">
      <xdr:nvSpPr>
        <xdr:cNvPr id="1217" name="Rectangle 1216">
          <a:extLst>
            <a:ext uri="{FF2B5EF4-FFF2-40B4-BE49-F238E27FC236}">
              <a16:creationId xmlns:a16="http://schemas.microsoft.com/office/drawing/2014/main" id="{A2F367B8-567C-48AA-8CB8-20B6C74961B8}"/>
            </a:ext>
          </a:extLst>
        </xdr:cNvPr>
        <xdr:cNvSpPr/>
      </xdr:nvSpPr>
      <xdr:spPr>
        <a:xfrm>
          <a:off x="0" y="48196499"/>
          <a:ext cx="4152902" cy="2619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800" b="1"/>
            <a:t>For Provider Members:</a:t>
          </a:r>
          <a:endParaRPr lang="en-US" sz="800"/>
        </a:p>
        <a:p>
          <a:r>
            <a:rPr lang="en-US" sz="800" b="1"/>
            <a:t>Individual – Full Convention</a:t>
          </a:r>
          <a:r>
            <a:rPr lang="en-US" sz="800"/>
            <a:t>: $499 per person​</a:t>
          </a:r>
        </a:p>
        <a:p>
          <a:r>
            <a:rPr lang="en-US" sz="800" b="1"/>
            <a:t>Individual – Tuesday Only</a:t>
          </a:r>
          <a:r>
            <a:rPr lang="en-US" sz="800"/>
            <a:t>: $249 per person</a:t>
          </a:r>
        </a:p>
        <a:p>
          <a:r>
            <a:rPr lang="en-US" sz="800" b="1"/>
            <a:t>Individual – Monday or Wednesday Only</a:t>
          </a:r>
          <a:r>
            <a:rPr lang="en-US" sz="800"/>
            <a:t>: $169 per person</a:t>
          </a:r>
        </a:p>
        <a:p>
          <a:r>
            <a:rPr lang="en-US" sz="800" b="1"/>
            <a:t>Group Rate – Full Convention</a:t>
          </a:r>
          <a:r>
            <a:rPr lang="en-US" sz="800"/>
            <a:t>: $375 per person (Buy 3, get 1 free; all registrants must be from the same facility) ​</a:t>
          </a:r>
        </a:p>
        <a:p>
          <a:endParaRPr lang="en-US" sz="800" b="1"/>
        </a:p>
        <a:p>
          <a:r>
            <a:rPr lang="en-US" sz="800" b="1"/>
            <a:t>For Non-Member Providers:</a:t>
          </a:r>
          <a:endParaRPr lang="en-US" sz="800"/>
        </a:p>
        <a:p>
          <a:r>
            <a:rPr lang="en-US" sz="800" b="1"/>
            <a:t>Individual – Full Convention</a:t>
          </a:r>
          <a:r>
            <a:rPr lang="en-US" sz="800"/>
            <a:t>: $998 per person​</a:t>
          </a:r>
        </a:p>
        <a:p>
          <a:r>
            <a:rPr lang="en-US" sz="800" b="1"/>
            <a:t>Individual – Tuesday Only</a:t>
          </a:r>
          <a:r>
            <a:rPr lang="en-US" sz="800"/>
            <a:t>: $498 per person​</a:t>
          </a:r>
        </a:p>
        <a:p>
          <a:r>
            <a:rPr lang="en-US" sz="800" b="1"/>
            <a:t>Individual – Monday or Wednesday Only</a:t>
          </a:r>
          <a:r>
            <a:rPr lang="en-US" sz="800"/>
            <a:t>: $338 per person ​</a:t>
          </a:r>
        </a:p>
        <a:p>
          <a:endParaRPr lang="en-US" sz="800"/>
        </a:p>
        <a:p>
          <a:r>
            <a:rPr lang="en-US" sz="800" b="1"/>
            <a:t>For Associate Business Members:</a:t>
          </a:r>
          <a:endParaRPr lang="en-US" sz="800"/>
        </a:p>
        <a:p>
          <a:r>
            <a:rPr lang="en-US" sz="800" b="1"/>
            <a:t>Trade Show Exhibit Tables</a:t>
          </a:r>
          <a:r>
            <a:rPr lang="en-US" sz="800"/>
            <a:t>: $1,300 for members; $2,600 for non-members (includes 2 full registrations)​</a:t>
          </a:r>
        </a:p>
        <a:p>
          <a:r>
            <a:rPr lang="en-US" sz="800" b="1"/>
            <a:t>AB Membership Packages</a:t>
          </a:r>
          <a:r>
            <a:rPr lang="en-US" sz="800"/>
            <a:t>: Starting at $2,400 (includes membership dues, sponsorships, and exhibit tables)​</a:t>
          </a:r>
        </a:p>
        <a:p>
          <a:r>
            <a:rPr lang="en-US" sz="800" b="1"/>
            <a:t>Premium Event Sponsorships</a:t>
          </a:r>
          <a:r>
            <a:rPr lang="en-US" sz="800"/>
            <a:t>: Starting at $1,500 (includes 2 full registrations for the sponsored event)</a:t>
          </a:r>
        </a:p>
        <a:p>
          <a:endParaRPr lang="en-US" sz="1100" b="0" i="0">
            <a:solidFill>
              <a:schemeClr val="lt1"/>
            </a:solidFill>
            <a:effectLst/>
            <a:latin typeface="+mn-lt"/>
            <a:ea typeface="+mn-ea"/>
            <a:cs typeface="+mn-cs"/>
          </a:endParaRPr>
        </a:p>
      </xdr:txBody>
    </xdr:sp>
    <xdr:clientData/>
  </xdr:twoCellAnchor>
  <xdr:twoCellAnchor>
    <xdr:from>
      <xdr:col>7</xdr:col>
      <xdr:colOff>28574</xdr:colOff>
      <xdr:row>757</xdr:row>
      <xdr:rowOff>47625</xdr:rowOff>
    </xdr:from>
    <xdr:to>
      <xdr:col>9</xdr:col>
      <xdr:colOff>209549</xdr:colOff>
      <xdr:row>773</xdr:row>
      <xdr:rowOff>104774</xdr:rowOff>
    </xdr:to>
    <xdr:sp macro="" textlink="">
      <xdr:nvSpPr>
        <xdr:cNvPr id="1218" name="Rectangle 1217">
          <a:extLst>
            <a:ext uri="{FF2B5EF4-FFF2-40B4-BE49-F238E27FC236}">
              <a16:creationId xmlns:a16="http://schemas.microsoft.com/office/drawing/2014/main" id="{3B411004-0A3C-450E-B628-82B025393B4B}"/>
            </a:ext>
          </a:extLst>
        </xdr:cNvPr>
        <xdr:cNvSpPr/>
      </xdr:nvSpPr>
      <xdr:spPr>
        <a:xfrm>
          <a:off x="4295774" y="47453550"/>
          <a:ext cx="1400175" cy="310514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This event is designed for professionals in the long-term care sector, including:​</a:t>
          </a:r>
        </a:p>
        <a:p>
          <a:endParaRPr lang="en-US"/>
        </a:p>
        <a:p>
          <a:r>
            <a:rPr lang="en-US"/>
            <a:t>Administrators​</a:t>
          </a:r>
        </a:p>
        <a:p>
          <a:r>
            <a:rPr lang="en-US"/>
            <a:t>Nurses​</a:t>
          </a:r>
        </a:p>
        <a:p>
          <a:r>
            <a:rPr lang="en-US"/>
            <a:t>Caregiving staff​</a:t>
          </a:r>
        </a:p>
        <a:p>
          <a:r>
            <a:rPr lang="en-US"/>
            <a:t>Facility owners​</a:t>
          </a:r>
        </a:p>
        <a:p>
          <a:r>
            <a:rPr lang="en-US"/>
            <a:t>Regulatory and compliance personnel​</a:t>
          </a:r>
        </a:p>
        <a:p>
          <a:r>
            <a:rPr lang="en-US"/>
            <a:t>Associate business members providing products or services to long-term care facilities </a:t>
          </a:r>
        </a:p>
        <a:p>
          <a:endParaRPr lang="en-US" b="0"/>
        </a:p>
      </xdr:txBody>
    </xdr:sp>
    <xdr:clientData/>
  </xdr:twoCellAnchor>
  <xdr:twoCellAnchor>
    <xdr:from>
      <xdr:col>0</xdr:col>
      <xdr:colOff>0</xdr:colOff>
      <xdr:row>776</xdr:row>
      <xdr:rowOff>9525</xdr:rowOff>
    </xdr:from>
    <xdr:to>
      <xdr:col>9</xdr:col>
      <xdr:colOff>247650</xdr:colOff>
      <xdr:row>780</xdr:row>
      <xdr:rowOff>142876</xdr:rowOff>
    </xdr:to>
    <xdr:sp macro="" textlink="">
      <xdr:nvSpPr>
        <xdr:cNvPr id="1219" name="Rectangle 1218">
          <a:extLst>
            <a:ext uri="{FF2B5EF4-FFF2-40B4-BE49-F238E27FC236}">
              <a16:creationId xmlns:a16="http://schemas.microsoft.com/office/drawing/2014/main" id="{AFCC67D2-067B-4B7C-8C1E-B58D3CEC3C05}"/>
            </a:ext>
          </a:extLst>
        </xdr:cNvPr>
        <xdr:cNvSpPr/>
      </xdr:nvSpPr>
      <xdr:spPr>
        <a:xfrm>
          <a:off x="0" y="51034950"/>
          <a:ext cx="5734050" cy="895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Encore Communities</a:t>
          </a:r>
          <a:r>
            <a:rPr lang="en-US"/>
            <a:t>: Operating primarily in Washington, Encore's involvement in assisted living, memory care, skilled nursing, and rehabilitation aligns with the convention's focus. Participation would benefit their staff through exposure to industry best practices, regulatory updates, and networking opportunities.​ and Aleca</a:t>
          </a:r>
        </a:p>
        <a:p>
          <a:endParaRPr lang="en-US"/>
        </a:p>
        <a:p>
          <a:pPr algn="l"/>
          <a:endParaRPr lang="en-US" sz="1100"/>
        </a:p>
      </xdr:txBody>
    </xdr:sp>
    <xdr:clientData/>
  </xdr:twoCellAnchor>
  <xdr:twoCellAnchor>
    <xdr:from>
      <xdr:col>9</xdr:col>
      <xdr:colOff>542925</xdr:colOff>
      <xdr:row>773</xdr:row>
      <xdr:rowOff>152399</xdr:rowOff>
    </xdr:from>
    <xdr:to>
      <xdr:col>13</xdr:col>
      <xdr:colOff>514350</xdr:colOff>
      <xdr:row>778</xdr:row>
      <xdr:rowOff>114300</xdr:rowOff>
    </xdr:to>
    <xdr:sp macro="" textlink="">
      <xdr:nvSpPr>
        <xdr:cNvPr id="1220" name="Rectangle 1219">
          <a:hlinkClick xmlns:r="http://schemas.openxmlformats.org/officeDocument/2006/relationships" r:id="rId39"/>
          <a:extLst>
            <a:ext uri="{FF2B5EF4-FFF2-40B4-BE49-F238E27FC236}">
              <a16:creationId xmlns:a16="http://schemas.microsoft.com/office/drawing/2014/main" id="{4225F738-DB6A-42B2-B0F6-30CCF4EB7139}"/>
            </a:ext>
          </a:extLst>
        </xdr:cNvPr>
        <xdr:cNvSpPr/>
      </xdr:nvSpPr>
      <xdr:spPr>
        <a:xfrm>
          <a:off x="6029325" y="50606324"/>
          <a:ext cx="2409825" cy="914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2025 WHCA Annual Convention - Washington Health Care Association</a:t>
          </a:r>
          <a:endParaRPr lang="en-US" sz="1100">
            <a:solidFill>
              <a:schemeClr val="bg1"/>
            </a:solidFill>
          </a:endParaRPr>
        </a:p>
      </xdr:txBody>
    </xdr:sp>
    <xdr:clientData/>
  </xdr:twoCellAnchor>
  <xdr:twoCellAnchor>
    <xdr:from>
      <xdr:col>0</xdr:col>
      <xdr:colOff>95250</xdr:colOff>
      <xdr:row>784</xdr:row>
      <xdr:rowOff>95250</xdr:rowOff>
    </xdr:from>
    <xdr:to>
      <xdr:col>0</xdr:col>
      <xdr:colOff>438150</xdr:colOff>
      <xdr:row>786</xdr:row>
      <xdr:rowOff>28575</xdr:rowOff>
    </xdr:to>
    <xdr:sp macro="" textlink="">
      <xdr:nvSpPr>
        <xdr:cNvPr id="1221" name="Star: 5 Points 1220">
          <a:extLst>
            <a:ext uri="{FF2B5EF4-FFF2-40B4-BE49-F238E27FC236}">
              <a16:creationId xmlns:a16="http://schemas.microsoft.com/office/drawing/2014/main" id="{A7E12F40-2116-42E1-93AC-2DC79F2D2823}"/>
            </a:ext>
          </a:extLst>
        </xdr:cNvPr>
        <xdr:cNvSpPr/>
      </xdr:nvSpPr>
      <xdr:spPr>
        <a:xfrm>
          <a:off x="95250" y="527875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784</xdr:row>
      <xdr:rowOff>114300</xdr:rowOff>
    </xdr:from>
    <xdr:to>
      <xdr:col>1</xdr:col>
      <xdr:colOff>247650</xdr:colOff>
      <xdr:row>786</xdr:row>
      <xdr:rowOff>47625</xdr:rowOff>
    </xdr:to>
    <xdr:sp macro="" textlink="">
      <xdr:nvSpPr>
        <xdr:cNvPr id="1222" name="Star: 5 Points 1221">
          <a:extLst>
            <a:ext uri="{FF2B5EF4-FFF2-40B4-BE49-F238E27FC236}">
              <a16:creationId xmlns:a16="http://schemas.microsoft.com/office/drawing/2014/main" id="{9DE60143-B73F-4243-90EB-0738D6004122}"/>
            </a:ext>
          </a:extLst>
        </xdr:cNvPr>
        <xdr:cNvSpPr/>
      </xdr:nvSpPr>
      <xdr:spPr>
        <a:xfrm>
          <a:off x="514350" y="52806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784</xdr:row>
      <xdr:rowOff>114300</xdr:rowOff>
    </xdr:from>
    <xdr:to>
      <xdr:col>2</xdr:col>
      <xdr:colOff>76200</xdr:colOff>
      <xdr:row>786</xdr:row>
      <xdr:rowOff>47625</xdr:rowOff>
    </xdr:to>
    <xdr:sp macro="" textlink="">
      <xdr:nvSpPr>
        <xdr:cNvPr id="1223" name="Star: 5 Points 1222">
          <a:extLst>
            <a:ext uri="{FF2B5EF4-FFF2-40B4-BE49-F238E27FC236}">
              <a16:creationId xmlns:a16="http://schemas.microsoft.com/office/drawing/2014/main" id="{44F94574-C931-4102-8112-5C12204416AA}"/>
            </a:ext>
          </a:extLst>
        </xdr:cNvPr>
        <xdr:cNvSpPr/>
      </xdr:nvSpPr>
      <xdr:spPr>
        <a:xfrm>
          <a:off x="952500" y="52806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784</xdr:row>
      <xdr:rowOff>114300</xdr:rowOff>
    </xdr:from>
    <xdr:to>
      <xdr:col>2</xdr:col>
      <xdr:colOff>523875</xdr:colOff>
      <xdr:row>786</xdr:row>
      <xdr:rowOff>47625</xdr:rowOff>
    </xdr:to>
    <xdr:sp macro="" textlink="">
      <xdr:nvSpPr>
        <xdr:cNvPr id="1242" name="Star: 5 Points 1241">
          <a:extLst>
            <a:ext uri="{FF2B5EF4-FFF2-40B4-BE49-F238E27FC236}">
              <a16:creationId xmlns:a16="http://schemas.microsoft.com/office/drawing/2014/main" id="{768D63A3-3604-42D1-9F15-AA3B420DB4B7}"/>
            </a:ext>
          </a:extLst>
        </xdr:cNvPr>
        <xdr:cNvSpPr/>
      </xdr:nvSpPr>
      <xdr:spPr>
        <a:xfrm>
          <a:off x="1400175" y="52806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784</xdr:row>
      <xdr:rowOff>123825</xdr:rowOff>
    </xdr:from>
    <xdr:to>
      <xdr:col>3</xdr:col>
      <xdr:colOff>342900</xdr:colOff>
      <xdr:row>786</xdr:row>
      <xdr:rowOff>57150</xdr:rowOff>
    </xdr:to>
    <xdr:sp macro="" textlink="">
      <xdr:nvSpPr>
        <xdr:cNvPr id="1243" name="Star: 5 Points 1242">
          <a:extLst>
            <a:ext uri="{FF2B5EF4-FFF2-40B4-BE49-F238E27FC236}">
              <a16:creationId xmlns:a16="http://schemas.microsoft.com/office/drawing/2014/main" id="{414DCF46-5958-4F7D-8079-0CDD63DE415E}"/>
            </a:ext>
          </a:extLst>
        </xdr:cNvPr>
        <xdr:cNvSpPr/>
      </xdr:nvSpPr>
      <xdr:spPr>
        <a:xfrm>
          <a:off x="1828800" y="528161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788</xdr:row>
      <xdr:rowOff>57151</xdr:rowOff>
    </xdr:from>
    <xdr:to>
      <xdr:col>4</xdr:col>
      <xdr:colOff>57150</xdr:colOff>
      <xdr:row>792</xdr:row>
      <xdr:rowOff>9526</xdr:rowOff>
    </xdr:to>
    <xdr:sp macro="" textlink="">
      <xdr:nvSpPr>
        <xdr:cNvPr id="1244" name="Rectangle 1243">
          <a:extLst>
            <a:ext uri="{FF2B5EF4-FFF2-40B4-BE49-F238E27FC236}">
              <a16:creationId xmlns:a16="http://schemas.microsoft.com/office/drawing/2014/main" id="{F3892836-58AE-47F7-B599-2E30A1426F59}"/>
            </a:ext>
          </a:extLst>
        </xdr:cNvPr>
        <xdr:cNvSpPr/>
      </xdr:nvSpPr>
      <xdr:spPr>
        <a:xfrm>
          <a:off x="85725" y="535209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794</xdr:row>
      <xdr:rowOff>76201</xdr:rowOff>
    </xdr:from>
    <xdr:to>
      <xdr:col>4</xdr:col>
      <xdr:colOff>57150</xdr:colOff>
      <xdr:row>798</xdr:row>
      <xdr:rowOff>38101</xdr:rowOff>
    </xdr:to>
    <xdr:sp macro="" textlink="">
      <xdr:nvSpPr>
        <xdr:cNvPr id="1245" name="Rectangle 1244">
          <a:extLst>
            <a:ext uri="{FF2B5EF4-FFF2-40B4-BE49-F238E27FC236}">
              <a16:creationId xmlns:a16="http://schemas.microsoft.com/office/drawing/2014/main" id="{39B2C50E-33E0-409B-98D9-6E3B3E82A830}"/>
            </a:ext>
          </a:extLst>
        </xdr:cNvPr>
        <xdr:cNvSpPr/>
      </xdr:nvSpPr>
      <xdr:spPr>
        <a:xfrm>
          <a:off x="85725" y="547020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800</xdr:row>
      <xdr:rowOff>114300</xdr:rowOff>
    </xdr:from>
    <xdr:to>
      <xdr:col>4</xdr:col>
      <xdr:colOff>485775</xdr:colOff>
      <xdr:row>807</xdr:row>
      <xdr:rowOff>95250</xdr:rowOff>
    </xdr:to>
    <xdr:sp macro="" textlink="">
      <xdr:nvSpPr>
        <xdr:cNvPr id="1246" name="Rectangle 1245">
          <a:extLst>
            <a:ext uri="{FF2B5EF4-FFF2-40B4-BE49-F238E27FC236}">
              <a16:creationId xmlns:a16="http://schemas.microsoft.com/office/drawing/2014/main" id="{E2221DB3-AA2A-4B20-BB9B-82ECCBB655FC}"/>
            </a:ext>
          </a:extLst>
        </xdr:cNvPr>
        <xdr:cNvSpPr/>
      </xdr:nvSpPr>
      <xdr:spPr>
        <a:xfrm>
          <a:off x="133350" y="55892700"/>
          <a:ext cx="2790825" cy="1314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788</xdr:row>
      <xdr:rowOff>38100</xdr:rowOff>
    </xdr:from>
    <xdr:to>
      <xdr:col>8</xdr:col>
      <xdr:colOff>333375</xdr:colOff>
      <xdr:row>790</xdr:row>
      <xdr:rowOff>161925</xdr:rowOff>
    </xdr:to>
    <xdr:sp macro="" textlink="">
      <xdr:nvSpPr>
        <xdr:cNvPr id="1247" name="Rectangle 1246">
          <a:extLst>
            <a:ext uri="{FF2B5EF4-FFF2-40B4-BE49-F238E27FC236}">
              <a16:creationId xmlns:a16="http://schemas.microsoft.com/office/drawing/2014/main" id="{F3F63F58-67FE-4C79-93D6-0ED1D58CBFA6}"/>
            </a:ext>
          </a:extLst>
        </xdr:cNvPr>
        <xdr:cNvSpPr/>
      </xdr:nvSpPr>
      <xdr:spPr>
        <a:xfrm>
          <a:off x="3028950" y="53501925"/>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792</xdr:row>
      <xdr:rowOff>76201</xdr:rowOff>
    </xdr:from>
    <xdr:to>
      <xdr:col>8</xdr:col>
      <xdr:colOff>352425</xdr:colOff>
      <xdr:row>796</xdr:row>
      <xdr:rowOff>38101</xdr:rowOff>
    </xdr:to>
    <xdr:sp macro="" textlink="">
      <xdr:nvSpPr>
        <xdr:cNvPr id="1248" name="Rectangle 1247">
          <a:extLst>
            <a:ext uri="{FF2B5EF4-FFF2-40B4-BE49-F238E27FC236}">
              <a16:creationId xmlns:a16="http://schemas.microsoft.com/office/drawing/2014/main" id="{CE9E3FAE-938E-4974-BEAE-C0440A02D6D3}"/>
            </a:ext>
          </a:extLst>
        </xdr:cNvPr>
        <xdr:cNvSpPr/>
      </xdr:nvSpPr>
      <xdr:spPr>
        <a:xfrm>
          <a:off x="3028950" y="54311551"/>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798</xdr:row>
      <xdr:rowOff>104775</xdr:rowOff>
    </xdr:from>
    <xdr:to>
      <xdr:col>8</xdr:col>
      <xdr:colOff>352425</xdr:colOff>
      <xdr:row>800</xdr:row>
      <xdr:rowOff>171450</xdr:rowOff>
    </xdr:to>
    <xdr:sp macro="" textlink="">
      <xdr:nvSpPr>
        <xdr:cNvPr id="1249" name="Rectangle 1248">
          <a:extLst>
            <a:ext uri="{FF2B5EF4-FFF2-40B4-BE49-F238E27FC236}">
              <a16:creationId xmlns:a16="http://schemas.microsoft.com/office/drawing/2014/main" id="{1EF0F5C2-AC0F-43B4-90F1-72B3DFB53967}"/>
            </a:ext>
          </a:extLst>
        </xdr:cNvPr>
        <xdr:cNvSpPr/>
      </xdr:nvSpPr>
      <xdr:spPr>
        <a:xfrm>
          <a:off x="3019426" y="55492650"/>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57150</xdr:colOff>
      <xdr:row>802</xdr:row>
      <xdr:rowOff>66675</xdr:rowOff>
    </xdr:from>
    <xdr:to>
      <xdr:col>6</xdr:col>
      <xdr:colOff>209549</xdr:colOff>
      <xdr:row>804</xdr:row>
      <xdr:rowOff>19050</xdr:rowOff>
    </xdr:to>
    <xdr:sp macro="" textlink="">
      <xdr:nvSpPr>
        <xdr:cNvPr id="1250" name="Rectangle 1249">
          <a:extLst>
            <a:ext uri="{FF2B5EF4-FFF2-40B4-BE49-F238E27FC236}">
              <a16:creationId xmlns:a16="http://schemas.microsoft.com/office/drawing/2014/main" id="{E7BDD972-9497-474C-B1E5-9CF92B4508C2}"/>
            </a:ext>
          </a:extLst>
        </xdr:cNvPr>
        <xdr:cNvSpPr/>
      </xdr:nvSpPr>
      <xdr:spPr>
        <a:xfrm>
          <a:off x="3105150" y="562260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4,500</a:t>
          </a:r>
        </a:p>
      </xdr:txBody>
    </xdr:sp>
    <xdr:clientData/>
  </xdr:twoCellAnchor>
  <xdr:twoCellAnchor>
    <xdr:from>
      <xdr:col>9</xdr:col>
      <xdr:colOff>285751</xdr:colOff>
      <xdr:row>784</xdr:row>
      <xdr:rowOff>180974</xdr:rowOff>
    </xdr:from>
    <xdr:to>
      <xdr:col>13</xdr:col>
      <xdr:colOff>552451</xdr:colOff>
      <xdr:row>819</xdr:row>
      <xdr:rowOff>161925</xdr:rowOff>
    </xdr:to>
    <xdr:sp macro="" textlink="">
      <xdr:nvSpPr>
        <xdr:cNvPr id="1251" name="Rectangle 1250">
          <a:extLst>
            <a:ext uri="{FF2B5EF4-FFF2-40B4-BE49-F238E27FC236}">
              <a16:creationId xmlns:a16="http://schemas.microsoft.com/office/drawing/2014/main" id="{8A27AF16-E873-4FD3-8E2D-9C7E3482FE0B}"/>
            </a:ext>
          </a:extLst>
        </xdr:cNvPr>
        <xdr:cNvSpPr/>
      </xdr:nvSpPr>
      <xdr:spPr>
        <a:xfrm>
          <a:off x="5772151" y="52873274"/>
          <a:ext cx="2705100" cy="66865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a:t>The </a:t>
          </a:r>
          <a:r>
            <a:rPr lang="en-US" b="1"/>
            <a:t>AANP National Conference</a:t>
          </a:r>
          <a:r>
            <a:rPr lang="en-US"/>
            <a:t> is designed to provide nurse practitioners (NPs) with advanced clinical education, professional development, and networking opportunities. The conference aims to enhance the quality of healthcare by offering sessions on evidence-based practices, policy updates, and innovative healthcare solutions. ​</a:t>
          </a:r>
          <a:endParaRPr lang="en-US" sz="1100" b="1"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b="1"/>
            <a:t>Key Features</a:t>
          </a:r>
          <a:r>
            <a:rPr lang="en-US"/>
            <a:t>:</a:t>
          </a:r>
        </a:p>
        <a:p>
          <a:r>
            <a:rPr lang="en-US" b="1"/>
            <a:t>Educational Sessions and Workshops</a:t>
          </a:r>
          <a:r>
            <a:rPr lang="en-US"/>
            <a:t>: Over 330 sessions covering various specialties and topics relevant to NPs. </a:t>
          </a:r>
        </a:p>
        <a:p>
          <a:endParaRPr lang="en-US"/>
        </a:p>
        <a:p>
          <a:r>
            <a:rPr lang="en-US" b="1"/>
            <a:t>Continuing Education (CE) Opportunities</a:t>
          </a:r>
          <a:r>
            <a:rPr lang="en-US"/>
            <a:t>: Attendees can earn up to 34 contact hours (CH) of CE credit during the in-person conference, with additional opportunities available through the on-demand package</a:t>
          </a:r>
        </a:p>
        <a:p>
          <a:endParaRPr lang="en-US"/>
        </a:p>
        <a:p>
          <a:r>
            <a:rPr lang="en-US" b="1"/>
            <a:t>Keynote Speaker</a:t>
          </a:r>
          <a:r>
            <a:rPr lang="en-US"/>
            <a:t>: Matthew Luhn, former Disney/Pixar creative director, will share insights on storytelling and creativity. ​</a:t>
          </a:r>
        </a:p>
        <a:p>
          <a:endParaRPr lang="en-US"/>
        </a:p>
        <a:p>
          <a:r>
            <a:rPr lang="en-US" b="1"/>
            <a:t>Exhibit Hall</a:t>
          </a:r>
          <a:r>
            <a:rPr lang="en-US"/>
            <a:t>: Featuring industry exhibitors showcasing the latest products and services in healthcare. ​</a:t>
          </a:r>
        </a:p>
        <a:p>
          <a:endParaRPr lang="en-US"/>
        </a:p>
        <a:p>
          <a:r>
            <a:rPr lang="en-US" b="1"/>
            <a:t>Networking Events</a:t>
          </a:r>
          <a:r>
            <a:rPr lang="en-US"/>
            <a:t>: Opportunities to connect with peers, industry leaders, and AANP leadership. </a:t>
          </a:r>
          <a:endParaRPr lang="en-US" sz="1100" b="0" i="0">
            <a:solidFill>
              <a:schemeClr val="lt1"/>
            </a:solidFill>
            <a:effectLst/>
            <a:latin typeface="+mn-lt"/>
            <a:ea typeface="+mn-ea"/>
            <a:cs typeface="+mn-cs"/>
          </a:endParaRPr>
        </a:p>
        <a:p>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a:t>San Diego Convention Center, 111 W Harbor Drive, San Diego, CA 92101</a:t>
          </a:r>
          <a:endParaRPr lang="en-US" sz="1100" b="0" i="0">
            <a:solidFill>
              <a:schemeClr val="lt1"/>
            </a:solidFill>
            <a:effectLst/>
            <a:latin typeface="+mn-lt"/>
            <a:ea typeface="+mn-ea"/>
            <a:cs typeface="+mn-cs"/>
          </a:endParaRPr>
        </a:p>
      </xdr:txBody>
    </xdr:sp>
    <xdr:clientData/>
  </xdr:twoCellAnchor>
  <xdr:twoCellAnchor>
    <xdr:from>
      <xdr:col>0</xdr:col>
      <xdr:colOff>0</xdr:colOff>
      <xdr:row>809</xdr:row>
      <xdr:rowOff>28574</xdr:rowOff>
    </xdr:from>
    <xdr:to>
      <xdr:col>4</xdr:col>
      <xdr:colOff>581025</xdr:colOff>
      <xdr:row>813</xdr:row>
      <xdr:rowOff>133350</xdr:rowOff>
    </xdr:to>
    <xdr:sp macro="" textlink="">
      <xdr:nvSpPr>
        <xdr:cNvPr id="1252" name="Rectangle 1251">
          <a:extLst>
            <a:ext uri="{FF2B5EF4-FFF2-40B4-BE49-F238E27FC236}">
              <a16:creationId xmlns:a16="http://schemas.microsoft.com/office/drawing/2014/main" id="{8E8C5221-0894-422D-991F-E8396F15897E}"/>
            </a:ext>
          </a:extLst>
        </xdr:cNvPr>
        <xdr:cNvSpPr/>
      </xdr:nvSpPr>
      <xdr:spPr>
        <a:xfrm>
          <a:off x="0" y="57521474"/>
          <a:ext cx="3019425" cy="8667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050" b="1"/>
            <a:t>Non-Member</a:t>
          </a:r>
          <a:r>
            <a:rPr lang="en-US" sz="1050"/>
            <a:t>:</a:t>
          </a:r>
        </a:p>
        <a:p>
          <a:r>
            <a:rPr lang="en-US" sz="1050"/>
            <a:t>Fees Received by May 5: $799​</a:t>
          </a:r>
        </a:p>
        <a:p>
          <a:r>
            <a:rPr lang="en-US" sz="1050"/>
            <a:t>Fees Received After May 5: $849</a:t>
          </a:r>
        </a:p>
        <a:p>
          <a:r>
            <a:rPr lang="en-US" sz="1050"/>
            <a:t>(Not including lodging,</a:t>
          </a:r>
          <a:r>
            <a:rPr lang="en-US" sz="1050" baseline="0"/>
            <a:t> travel, food, etc.)</a:t>
          </a:r>
          <a:r>
            <a:rPr lang="en-US" sz="800"/>
            <a:t>​</a:t>
          </a:r>
        </a:p>
        <a:p>
          <a:endParaRPr lang="en-US" sz="1100" b="0" i="0">
            <a:solidFill>
              <a:schemeClr val="lt1"/>
            </a:solidFill>
            <a:effectLst/>
            <a:latin typeface="+mn-lt"/>
            <a:ea typeface="+mn-ea"/>
            <a:cs typeface="+mn-cs"/>
          </a:endParaRPr>
        </a:p>
      </xdr:txBody>
    </xdr:sp>
    <xdr:clientData/>
  </xdr:twoCellAnchor>
  <xdr:twoCellAnchor>
    <xdr:from>
      <xdr:col>5</xdr:col>
      <xdr:colOff>104775</xdr:colOff>
      <xdr:row>807</xdr:row>
      <xdr:rowOff>123825</xdr:rowOff>
    </xdr:from>
    <xdr:to>
      <xdr:col>9</xdr:col>
      <xdr:colOff>123824</xdr:colOff>
      <xdr:row>822</xdr:row>
      <xdr:rowOff>28575</xdr:rowOff>
    </xdr:to>
    <xdr:sp macro="" textlink="">
      <xdr:nvSpPr>
        <xdr:cNvPr id="1253" name="Rectangle 1252">
          <a:extLst>
            <a:ext uri="{FF2B5EF4-FFF2-40B4-BE49-F238E27FC236}">
              <a16:creationId xmlns:a16="http://schemas.microsoft.com/office/drawing/2014/main" id="{7CC0A348-DFF9-438A-8386-D247C6E3A4C9}"/>
            </a:ext>
          </a:extLst>
        </xdr:cNvPr>
        <xdr:cNvSpPr/>
      </xdr:nvSpPr>
      <xdr:spPr>
        <a:xfrm>
          <a:off x="3152775" y="57235725"/>
          <a:ext cx="2457449" cy="2762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This conference is tailored for nurse practitioners across all specialties, including</a:t>
          </a:r>
        </a:p>
        <a:p>
          <a:endParaRPr lang="en-US"/>
        </a:p>
        <a:p>
          <a:r>
            <a:rPr lang="en-US"/>
            <a:t>Family NPs</a:t>
          </a:r>
        </a:p>
        <a:p>
          <a:r>
            <a:rPr lang="en-US"/>
            <a:t>Adult-Gerontology NPs​</a:t>
          </a:r>
        </a:p>
        <a:p>
          <a:r>
            <a:rPr lang="en-US"/>
            <a:t>Pediatric NPs​</a:t>
          </a:r>
        </a:p>
        <a:p>
          <a:r>
            <a:rPr lang="en-US"/>
            <a:t>Psychiatric-Mental Health NPs​</a:t>
          </a:r>
        </a:p>
        <a:p>
          <a:r>
            <a:rPr lang="en-US"/>
            <a:t>Acute Care NPs​</a:t>
          </a:r>
        </a:p>
        <a:p>
          <a:r>
            <a:rPr lang="en-US"/>
            <a:t>Emergency NPs​</a:t>
          </a:r>
        </a:p>
        <a:p>
          <a:endParaRPr lang="en-US"/>
        </a:p>
        <a:p>
          <a:r>
            <a:rPr lang="en-US"/>
            <a:t>Additionally, NP students, educators, and healthcare professionals interested in advanced nursing practices are encouraged to attend.</a:t>
          </a:r>
        </a:p>
        <a:p>
          <a:endParaRPr lang="en-US" b="0"/>
        </a:p>
      </xdr:txBody>
    </xdr:sp>
    <xdr:clientData/>
  </xdr:twoCellAnchor>
  <xdr:twoCellAnchor>
    <xdr:from>
      <xdr:col>0</xdr:col>
      <xdr:colOff>57150</xdr:colOff>
      <xdr:row>815</xdr:row>
      <xdr:rowOff>133349</xdr:rowOff>
    </xdr:from>
    <xdr:to>
      <xdr:col>4</xdr:col>
      <xdr:colOff>590550</xdr:colOff>
      <xdr:row>827</xdr:row>
      <xdr:rowOff>85724</xdr:rowOff>
    </xdr:to>
    <xdr:sp macro="" textlink="">
      <xdr:nvSpPr>
        <xdr:cNvPr id="1254" name="Rectangle 1253">
          <a:extLst>
            <a:ext uri="{FF2B5EF4-FFF2-40B4-BE49-F238E27FC236}">
              <a16:creationId xmlns:a16="http://schemas.microsoft.com/office/drawing/2014/main" id="{5B69CA5B-AAC1-43A1-8725-F2E2F6E20B6D}"/>
            </a:ext>
          </a:extLst>
        </xdr:cNvPr>
        <xdr:cNvSpPr/>
      </xdr:nvSpPr>
      <xdr:spPr>
        <a:xfrm>
          <a:off x="57150" y="58769249"/>
          <a:ext cx="2971800" cy="2238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Alante</a:t>
          </a:r>
          <a:r>
            <a:rPr lang="en-US"/>
            <a:t>: Specializing in chronic care management, palliative care, in-home visits, and work injury programs, Alante's nurse practitioners would benefit from sessions on evidence-based practices and the latest advancements in patient care.​</a:t>
          </a:r>
        </a:p>
        <a:p>
          <a:endParaRPr lang="en-US"/>
        </a:p>
        <a:p>
          <a:r>
            <a:rPr lang="en-US" b="1"/>
            <a:t>Aleca</a:t>
          </a:r>
          <a:r>
            <a:rPr lang="en-US"/>
            <a:t>: Providing home health care, hospice, outpatient therapy, and work injury services, Aleca's NPs can gain insights into innovative care strategies and interdisciplinary approaches relevant to their fields.</a:t>
          </a:r>
        </a:p>
        <a:p>
          <a:endParaRPr lang="en-US"/>
        </a:p>
        <a:p>
          <a:pPr algn="l"/>
          <a:endParaRPr lang="en-US" sz="1100"/>
        </a:p>
      </xdr:txBody>
    </xdr:sp>
    <xdr:clientData/>
  </xdr:twoCellAnchor>
  <xdr:twoCellAnchor>
    <xdr:from>
      <xdr:col>9</xdr:col>
      <xdr:colOff>542925</xdr:colOff>
      <xdr:row>821</xdr:row>
      <xdr:rowOff>152399</xdr:rowOff>
    </xdr:from>
    <xdr:to>
      <xdr:col>13</xdr:col>
      <xdr:colOff>514350</xdr:colOff>
      <xdr:row>823</xdr:row>
      <xdr:rowOff>171450</xdr:rowOff>
    </xdr:to>
    <xdr:sp macro="" textlink="">
      <xdr:nvSpPr>
        <xdr:cNvPr id="1255" name="Rectangle 1254">
          <a:hlinkClick xmlns:r="http://schemas.openxmlformats.org/officeDocument/2006/relationships" r:id="rId40"/>
          <a:extLst>
            <a:ext uri="{FF2B5EF4-FFF2-40B4-BE49-F238E27FC236}">
              <a16:creationId xmlns:a16="http://schemas.microsoft.com/office/drawing/2014/main" id="{A1467508-C29C-415E-96AB-2F8BD0A36871}"/>
            </a:ext>
          </a:extLst>
        </xdr:cNvPr>
        <xdr:cNvSpPr/>
      </xdr:nvSpPr>
      <xdr:spPr>
        <a:xfrm>
          <a:off x="6029325" y="59931299"/>
          <a:ext cx="2409825" cy="4000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2025 AANP National Conference</a:t>
          </a:r>
          <a:endParaRPr lang="en-US" sz="1100">
            <a:solidFill>
              <a:schemeClr val="bg1"/>
            </a:solidFill>
          </a:endParaRPr>
        </a:p>
      </xdr:txBody>
    </xdr:sp>
    <xdr:clientData/>
  </xdr:twoCellAnchor>
  <xdr:twoCellAnchor>
    <xdr:from>
      <xdr:col>0</xdr:col>
      <xdr:colOff>95250</xdr:colOff>
      <xdr:row>832</xdr:row>
      <xdr:rowOff>95250</xdr:rowOff>
    </xdr:from>
    <xdr:to>
      <xdr:col>0</xdr:col>
      <xdr:colOff>438150</xdr:colOff>
      <xdr:row>834</xdr:row>
      <xdr:rowOff>28575</xdr:rowOff>
    </xdr:to>
    <xdr:sp macro="" textlink="">
      <xdr:nvSpPr>
        <xdr:cNvPr id="1256" name="Star: 5 Points 1255">
          <a:extLst>
            <a:ext uri="{FF2B5EF4-FFF2-40B4-BE49-F238E27FC236}">
              <a16:creationId xmlns:a16="http://schemas.microsoft.com/office/drawing/2014/main" id="{7EE19BF8-A613-458D-A6A8-9D15B2653E61}"/>
            </a:ext>
          </a:extLst>
        </xdr:cNvPr>
        <xdr:cNvSpPr/>
      </xdr:nvSpPr>
      <xdr:spPr>
        <a:xfrm>
          <a:off x="95250" y="621220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832</xdr:row>
      <xdr:rowOff>114300</xdr:rowOff>
    </xdr:from>
    <xdr:to>
      <xdr:col>1</xdr:col>
      <xdr:colOff>247650</xdr:colOff>
      <xdr:row>834</xdr:row>
      <xdr:rowOff>47625</xdr:rowOff>
    </xdr:to>
    <xdr:sp macro="" textlink="">
      <xdr:nvSpPr>
        <xdr:cNvPr id="1257" name="Star: 5 Points 1256">
          <a:extLst>
            <a:ext uri="{FF2B5EF4-FFF2-40B4-BE49-F238E27FC236}">
              <a16:creationId xmlns:a16="http://schemas.microsoft.com/office/drawing/2014/main" id="{F201F9A1-9569-4A6F-B98C-1C4AA2B1A848}"/>
            </a:ext>
          </a:extLst>
        </xdr:cNvPr>
        <xdr:cNvSpPr/>
      </xdr:nvSpPr>
      <xdr:spPr>
        <a:xfrm>
          <a:off x="514350" y="62141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832</xdr:row>
      <xdr:rowOff>114300</xdr:rowOff>
    </xdr:from>
    <xdr:to>
      <xdr:col>2</xdr:col>
      <xdr:colOff>76200</xdr:colOff>
      <xdr:row>834</xdr:row>
      <xdr:rowOff>47625</xdr:rowOff>
    </xdr:to>
    <xdr:sp macro="" textlink="">
      <xdr:nvSpPr>
        <xdr:cNvPr id="1258" name="Star: 5 Points 1257">
          <a:extLst>
            <a:ext uri="{FF2B5EF4-FFF2-40B4-BE49-F238E27FC236}">
              <a16:creationId xmlns:a16="http://schemas.microsoft.com/office/drawing/2014/main" id="{9B48789F-FDEB-45B7-9D20-ED90BDD76B6E}"/>
            </a:ext>
          </a:extLst>
        </xdr:cNvPr>
        <xdr:cNvSpPr/>
      </xdr:nvSpPr>
      <xdr:spPr>
        <a:xfrm>
          <a:off x="952500" y="62141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832</xdr:row>
      <xdr:rowOff>114300</xdr:rowOff>
    </xdr:from>
    <xdr:to>
      <xdr:col>2</xdr:col>
      <xdr:colOff>523875</xdr:colOff>
      <xdr:row>834</xdr:row>
      <xdr:rowOff>47625</xdr:rowOff>
    </xdr:to>
    <xdr:sp macro="" textlink="">
      <xdr:nvSpPr>
        <xdr:cNvPr id="1259" name="Star: 5 Points 1258">
          <a:extLst>
            <a:ext uri="{FF2B5EF4-FFF2-40B4-BE49-F238E27FC236}">
              <a16:creationId xmlns:a16="http://schemas.microsoft.com/office/drawing/2014/main" id="{2780C5BF-9AC0-490B-A89D-E483816927F3}"/>
            </a:ext>
          </a:extLst>
        </xdr:cNvPr>
        <xdr:cNvSpPr/>
      </xdr:nvSpPr>
      <xdr:spPr>
        <a:xfrm>
          <a:off x="1400175" y="62141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832</xdr:row>
      <xdr:rowOff>123825</xdr:rowOff>
    </xdr:from>
    <xdr:to>
      <xdr:col>3</xdr:col>
      <xdr:colOff>342900</xdr:colOff>
      <xdr:row>834</xdr:row>
      <xdr:rowOff>57150</xdr:rowOff>
    </xdr:to>
    <xdr:sp macro="" textlink="">
      <xdr:nvSpPr>
        <xdr:cNvPr id="1260" name="Star: 5 Points 1259">
          <a:extLst>
            <a:ext uri="{FF2B5EF4-FFF2-40B4-BE49-F238E27FC236}">
              <a16:creationId xmlns:a16="http://schemas.microsoft.com/office/drawing/2014/main" id="{DEFF653D-385E-41BF-B414-E5FBD15B657D}"/>
            </a:ext>
          </a:extLst>
        </xdr:cNvPr>
        <xdr:cNvSpPr/>
      </xdr:nvSpPr>
      <xdr:spPr>
        <a:xfrm>
          <a:off x="1828800" y="621506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836</xdr:row>
      <xdr:rowOff>57151</xdr:rowOff>
    </xdr:from>
    <xdr:to>
      <xdr:col>4</xdr:col>
      <xdr:colOff>57150</xdr:colOff>
      <xdr:row>840</xdr:row>
      <xdr:rowOff>9526</xdr:rowOff>
    </xdr:to>
    <xdr:sp macro="" textlink="">
      <xdr:nvSpPr>
        <xdr:cNvPr id="1261" name="Rectangle 1260">
          <a:extLst>
            <a:ext uri="{FF2B5EF4-FFF2-40B4-BE49-F238E27FC236}">
              <a16:creationId xmlns:a16="http://schemas.microsoft.com/office/drawing/2014/main" id="{00ECBA17-114D-41BD-A102-FA210015A977}"/>
            </a:ext>
          </a:extLst>
        </xdr:cNvPr>
        <xdr:cNvSpPr/>
      </xdr:nvSpPr>
      <xdr:spPr>
        <a:xfrm>
          <a:off x="85725" y="628554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842</xdr:row>
      <xdr:rowOff>76201</xdr:rowOff>
    </xdr:from>
    <xdr:to>
      <xdr:col>4</xdr:col>
      <xdr:colOff>57150</xdr:colOff>
      <xdr:row>846</xdr:row>
      <xdr:rowOff>38101</xdr:rowOff>
    </xdr:to>
    <xdr:sp macro="" textlink="">
      <xdr:nvSpPr>
        <xdr:cNvPr id="1262" name="Rectangle 1261">
          <a:extLst>
            <a:ext uri="{FF2B5EF4-FFF2-40B4-BE49-F238E27FC236}">
              <a16:creationId xmlns:a16="http://schemas.microsoft.com/office/drawing/2014/main" id="{87B6E113-2958-4BF4-9ABB-0FFFE8727A65}"/>
            </a:ext>
          </a:extLst>
        </xdr:cNvPr>
        <xdr:cNvSpPr/>
      </xdr:nvSpPr>
      <xdr:spPr>
        <a:xfrm>
          <a:off x="85725" y="640365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848</xdr:row>
      <xdr:rowOff>123825</xdr:rowOff>
    </xdr:from>
    <xdr:to>
      <xdr:col>4</xdr:col>
      <xdr:colOff>76200</xdr:colOff>
      <xdr:row>857</xdr:row>
      <xdr:rowOff>9525</xdr:rowOff>
    </xdr:to>
    <xdr:sp macro="" textlink="">
      <xdr:nvSpPr>
        <xdr:cNvPr id="1263" name="Rectangle 1262">
          <a:extLst>
            <a:ext uri="{FF2B5EF4-FFF2-40B4-BE49-F238E27FC236}">
              <a16:creationId xmlns:a16="http://schemas.microsoft.com/office/drawing/2014/main" id="{53ABE994-98B8-45FC-953F-C475D45C2B99}"/>
            </a:ext>
          </a:extLst>
        </xdr:cNvPr>
        <xdr:cNvSpPr/>
      </xdr:nvSpPr>
      <xdr:spPr>
        <a:xfrm>
          <a:off x="104775" y="6523672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836</xdr:row>
      <xdr:rowOff>38100</xdr:rowOff>
    </xdr:from>
    <xdr:to>
      <xdr:col>8</xdr:col>
      <xdr:colOff>333375</xdr:colOff>
      <xdr:row>838</xdr:row>
      <xdr:rowOff>161925</xdr:rowOff>
    </xdr:to>
    <xdr:sp macro="" textlink="">
      <xdr:nvSpPr>
        <xdr:cNvPr id="1264" name="Rectangle 1263">
          <a:extLst>
            <a:ext uri="{FF2B5EF4-FFF2-40B4-BE49-F238E27FC236}">
              <a16:creationId xmlns:a16="http://schemas.microsoft.com/office/drawing/2014/main" id="{F5AC971A-E34B-40F3-8612-5148514C702D}"/>
            </a:ext>
          </a:extLst>
        </xdr:cNvPr>
        <xdr:cNvSpPr/>
      </xdr:nvSpPr>
      <xdr:spPr>
        <a:xfrm>
          <a:off x="3028950" y="62836425"/>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840</xdr:row>
      <xdr:rowOff>76201</xdr:rowOff>
    </xdr:from>
    <xdr:to>
      <xdr:col>8</xdr:col>
      <xdr:colOff>352425</xdr:colOff>
      <xdr:row>844</xdr:row>
      <xdr:rowOff>38101</xdr:rowOff>
    </xdr:to>
    <xdr:sp macro="" textlink="">
      <xdr:nvSpPr>
        <xdr:cNvPr id="1265" name="Rectangle 1264">
          <a:extLst>
            <a:ext uri="{FF2B5EF4-FFF2-40B4-BE49-F238E27FC236}">
              <a16:creationId xmlns:a16="http://schemas.microsoft.com/office/drawing/2014/main" id="{23732BFC-9363-4D8F-B3CE-14B098BAD3A1}"/>
            </a:ext>
          </a:extLst>
        </xdr:cNvPr>
        <xdr:cNvSpPr/>
      </xdr:nvSpPr>
      <xdr:spPr>
        <a:xfrm>
          <a:off x="3028950" y="63646051"/>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846</xdr:row>
      <xdr:rowOff>104775</xdr:rowOff>
    </xdr:from>
    <xdr:to>
      <xdr:col>8</xdr:col>
      <xdr:colOff>352425</xdr:colOff>
      <xdr:row>848</xdr:row>
      <xdr:rowOff>171450</xdr:rowOff>
    </xdr:to>
    <xdr:sp macro="" textlink="">
      <xdr:nvSpPr>
        <xdr:cNvPr id="1266" name="Rectangle 1265">
          <a:extLst>
            <a:ext uri="{FF2B5EF4-FFF2-40B4-BE49-F238E27FC236}">
              <a16:creationId xmlns:a16="http://schemas.microsoft.com/office/drawing/2014/main" id="{15BA9D80-2519-4868-B04F-B992AFF3FDF7}"/>
            </a:ext>
          </a:extLst>
        </xdr:cNvPr>
        <xdr:cNvSpPr/>
      </xdr:nvSpPr>
      <xdr:spPr>
        <a:xfrm>
          <a:off x="3019426" y="64827150"/>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850</xdr:row>
      <xdr:rowOff>28575</xdr:rowOff>
    </xdr:from>
    <xdr:to>
      <xdr:col>6</xdr:col>
      <xdr:colOff>171449</xdr:colOff>
      <xdr:row>851</xdr:row>
      <xdr:rowOff>171450</xdr:rowOff>
    </xdr:to>
    <xdr:sp macro="" textlink="">
      <xdr:nvSpPr>
        <xdr:cNvPr id="1267" name="Rectangle 1266">
          <a:extLst>
            <a:ext uri="{FF2B5EF4-FFF2-40B4-BE49-F238E27FC236}">
              <a16:creationId xmlns:a16="http://schemas.microsoft.com/office/drawing/2014/main" id="{3D6C00B6-1887-49A6-9C33-89E402F3B85A}"/>
            </a:ext>
          </a:extLst>
        </xdr:cNvPr>
        <xdr:cNvSpPr/>
      </xdr:nvSpPr>
      <xdr:spPr>
        <a:xfrm>
          <a:off x="3067050" y="655224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100-500</a:t>
          </a:r>
        </a:p>
      </xdr:txBody>
    </xdr:sp>
    <xdr:clientData/>
  </xdr:twoCellAnchor>
  <xdr:twoCellAnchor>
    <xdr:from>
      <xdr:col>8</xdr:col>
      <xdr:colOff>485775</xdr:colOff>
      <xdr:row>832</xdr:row>
      <xdr:rowOff>180974</xdr:rowOff>
    </xdr:from>
    <xdr:to>
      <xdr:col>13</xdr:col>
      <xdr:colOff>552450</xdr:colOff>
      <xdr:row>865</xdr:row>
      <xdr:rowOff>123825</xdr:rowOff>
    </xdr:to>
    <xdr:sp macro="" textlink="">
      <xdr:nvSpPr>
        <xdr:cNvPr id="1268" name="Rectangle 1267">
          <a:extLst>
            <a:ext uri="{FF2B5EF4-FFF2-40B4-BE49-F238E27FC236}">
              <a16:creationId xmlns:a16="http://schemas.microsoft.com/office/drawing/2014/main" id="{09717E2C-EDCD-4F8D-895D-0E9E8778E87A}"/>
            </a:ext>
          </a:extLst>
        </xdr:cNvPr>
        <xdr:cNvSpPr/>
      </xdr:nvSpPr>
      <xdr:spPr>
        <a:xfrm>
          <a:off x="5362575" y="62207774"/>
          <a:ext cx="3114675" cy="62674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b="0"/>
            <a:t>​</a:t>
          </a:r>
          <a:r>
            <a:rPr lang="en-US"/>
            <a:t>The </a:t>
          </a:r>
          <a:r>
            <a:rPr lang="en-US" b="1"/>
            <a:t>41st Annual Geriatric Care 2025 CNE Nursing Conference</a:t>
          </a:r>
          <a:r>
            <a:rPr lang="en-US"/>
            <a:t> aims to provide healthcare professionals with the latest advancements and best practices in geriatric care. The conference focuses on enhancing the quality of care for the elderly population through education on various topics, including dementia care, effective communication, integrative medicine, and restorative sleep. ​</a:t>
          </a:r>
          <a:endParaRPr lang="en-US" b="0"/>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b="1"/>
            <a:t>Format</a:t>
          </a:r>
          <a:r>
            <a:rPr lang="en-US"/>
            <a:t>: The conference offers both </a:t>
          </a:r>
          <a:r>
            <a:rPr lang="en-US" b="1"/>
            <a:t>live (in-person)</a:t>
          </a:r>
          <a:r>
            <a:rPr lang="en-US"/>
            <a:t> and </a:t>
          </a:r>
          <a:r>
            <a:rPr lang="en-US" b="1"/>
            <a:t>livestream (virtual)</a:t>
          </a:r>
          <a:r>
            <a:rPr lang="en-US"/>
            <a:t> attendance options to accommodate diverse preferences. ​</a:t>
          </a:r>
        </a:p>
        <a:p>
          <a:r>
            <a:rPr lang="en-US" b="1"/>
            <a:t>Agenda Highlights</a:t>
          </a:r>
          <a:r>
            <a:rPr lang="en-US"/>
            <a:t>:</a:t>
          </a:r>
        </a:p>
        <a:p>
          <a:r>
            <a:rPr lang="en-US" b="1"/>
            <a:t>7:00 AM</a:t>
          </a:r>
          <a:r>
            <a:rPr lang="en-US"/>
            <a:t>: Registration and Breakfast​</a:t>
          </a:r>
        </a:p>
        <a:p>
          <a:r>
            <a:rPr lang="en-US" b="1"/>
            <a:t>7:40 AM</a:t>
          </a:r>
          <a:r>
            <a:rPr lang="en-US"/>
            <a:t>: Welcome and Announcements</a:t>
          </a:r>
        </a:p>
        <a:p>
          <a:r>
            <a:rPr lang="en-US" b="1"/>
            <a:t>7:45 AM</a:t>
          </a:r>
          <a:r>
            <a:rPr lang="en-US"/>
            <a:t>: Pharmacologic Management of Behavioral and Psychological Symptoms of Dementia (BPSD)</a:t>
          </a:r>
        </a:p>
        <a:p>
          <a:r>
            <a:rPr lang="en-US" b="1"/>
            <a:t>8:15 AM</a:t>
          </a:r>
          <a:r>
            <a:rPr lang="en-US"/>
            <a:t>: Effective Communication​</a:t>
          </a:r>
        </a:p>
        <a:p>
          <a:r>
            <a:rPr lang="en-US" b="1"/>
            <a:t>9:00 AM</a:t>
          </a:r>
          <a:r>
            <a:rPr lang="en-US"/>
            <a:t>: Integrative Medicine​</a:t>
          </a:r>
        </a:p>
        <a:p>
          <a:r>
            <a:rPr lang="en-US" b="1"/>
            <a:t>9:30 AM</a:t>
          </a:r>
          <a:r>
            <a:rPr lang="en-US"/>
            <a:t>: Break</a:t>
          </a:r>
        </a:p>
        <a:p>
          <a:r>
            <a:rPr lang="en-US" b="1"/>
            <a:t>9:45 AM</a:t>
          </a:r>
          <a:r>
            <a:rPr lang="en-US"/>
            <a:t>: From Rest to Rise: The Importance of Restorative Sleep</a:t>
          </a:r>
        </a:p>
        <a:p>
          <a:endParaRPr lang="en-US" sz="1100" b="0"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i="1"/>
            <a:t>​Additional sessions continue throughout the day, focusing on various aspects of geriatric care.</a:t>
          </a:r>
          <a:r>
            <a:rPr lang="en-US"/>
            <a:t> ​</a:t>
          </a:r>
        </a:p>
        <a:p>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a:t>Hilton Rochester Mayo Clinic Area</a:t>
          </a:r>
          <a:br>
            <a:rPr lang="en-US"/>
          </a:br>
          <a:r>
            <a:rPr lang="en-US"/>
            <a:t>10 East Center Street</a:t>
          </a:r>
          <a:br>
            <a:rPr lang="en-US"/>
          </a:br>
          <a:r>
            <a:rPr lang="en-US"/>
            <a:t>Rochester, MN 55904</a:t>
          </a:r>
          <a:endParaRPr lang="en-US" sz="1100"/>
        </a:p>
      </xdr:txBody>
    </xdr:sp>
    <xdr:clientData/>
  </xdr:twoCellAnchor>
  <xdr:twoCellAnchor>
    <xdr:from>
      <xdr:col>0</xdr:col>
      <xdr:colOff>76199</xdr:colOff>
      <xdr:row>858</xdr:row>
      <xdr:rowOff>38101</xdr:rowOff>
    </xdr:from>
    <xdr:to>
      <xdr:col>4</xdr:col>
      <xdr:colOff>485775</xdr:colOff>
      <xdr:row>866</xdr:row>
      <xdr:rowOff>152400</xdr:rowOff>
    </xdr:to>
    <xdr:sp macro="" textlink="">
      <xdr:nvSpPr>
        <xdr:cNvPr id="1269" name="Rectangle 1268">
          <a:extLst>
            <a:ext uri="{FF2B5EF4-FFF2-40B4-BE49-F238E27FC236}">
              <a16:creationId xmlns:a16="http://schemas.microsoft.com/office/drawing/2014/main" id="{18B543BD-4695-4DE0-AAED-763C1A6751E5}"/>
            </a:ext>
          </a:extLst>
        </xdr:cNvPr>
        <xdr:cNvSpPr/>
      </xdr:nvSpPr>
      <xdr:spPr>
        <a:xfrm>
          <a:off x="76199" y="67056001"/>
          <a:ext cx="2847976" cy="163829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Registration Fee:</a:t>
          </a:r>
          <a:r>
            <a:rPr lang="en-US" sz="1100" b="0" i="0" baseline="0">
              <a:solidFill>
                <a:schemeClr val="lt1"/>
              </a:solidFill>
              <a:effectLst/>
              <a:latin typeface="+mn-lt"/>
              <a:ea typeface="+mn-ea"/>
              <a:cs typeface="+mn-cs"/>
            </a:rPr>
            <a:t> $325</a:t>
          </a:r>
        </a:p>
        <a:p>
          <a:r>
            <a:rPr lang="en-US" sz="1100" b="0" i="0" baseline="0">
              <a:solidFill>
                <a:schemeClr val="lt1"/>
              </a:solidFill>
              <a:effectLst/>
              <a:latin typeface="+mn-lt"/>
              <a:ea typeface="+mn-ea"/>
              <a:cs typeface="+mn-cs"/>
            </a:rPr>
            <a:t>(Still have to account for Travel, Lodging, and Food expenses)</a:t>
          </a:r>
          <a:endParaRPr lang="en-US" sz="1100" b="0" i="0">
            <a:solidFill>
              <a:schemeClr val="lt1"/>
            </a:solidFill>
            <a:effectLst/>
            <a:latin typeface="+mn-lt"/>
            <a:ea typeface="+mn-ea"/>
            <a:cs typeface="+mn-cs"/>
          </a:endParaRPr>
        </a:p>
      </xdr:txBody>
    </xdr:sp>
    <xdr:clientData/>
  </xdr:twoCellAnchor>
  <xdr:twoCellAnchor>
    <xdr:from>
      <xdr:col>4</xdr:col>
      <xdr:colOff>561975</xdr:colOff>
      <xdr:row>853</xdr:row>
      <xdr:rowOff>47626</xdr:rowOff>
    </xdr:from>
    <xdr:to>
      <xdr:col>8</xdr:col>
      <xdr:colOff>342900</xdr:colOff>
      <xdr:row>867</xdr:row>
      <xdr:rowOff>133350</xdr:rowOff>
    </xdr:to>
    <xdr:sp macro="" textlink="">
      <xdr:nvSpPr>
        <xdr:cNvPr id="1270" name="Rectangle 1269">
          <a:extLst>
            <a:ext uri="{FF2B5EF4-FFF2-40B4-BE49-F238E27FC236}">
              <a16:creationId xmlns:a16="http://schemas.microsoft.com/office/drawing/2014/main" id="{740C5420-D775-4201-9E22-41CE08A222D9}"/>
            </a:ext>
          </a:extLst>
        </xdr:cNvPr>
        <xdr:cNvSpPr/>
      </xdr:nvSpPr>
      <xdr:spPr>
        <a:xfrm>
          <a:off x="3000375" y="66113026"/>
          <a:ext cx="2219325" cy="27527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This conference is designed for healthcare professionals involved in geriatric care, including:​</a:t>
          </a:r>
        </a:p>
        <a:p>
          <a:endParaRPr lang="en-US"/>
        </a:p>
        <a:p>
          <a:r>
            <a:rPr lang="en-US"/>
            <a:t>Registered Nurses (RNs)​</a:t>
          </a:r>
        </a:p>
        <a:p>
          <a:r>
            <a:rPr lang="en-US"/>
            <a:t>Advanced Practice Nurses​</a:t>
          </a:r>
        </a:p>
        <a:p>
          <a:r>
            <a:rPr lang="en-US"/>
            <a:t>Licensed Practical Nurses</a:t>
          </a:r>
        </a:p>
        <a:p>
          <a:r>
            <a:rPr lang="en-US"/>
            <a:t>Nursing Home Administrators</a:t>
          </a:r>
        </a:p>
        <a:p>
          <a:r>
            <a:rPr lang="en-US"/>
            <a:t>Social Workers</a:t>
          </a:r>
        </a:p>
        <a:p>
          <a:r>
            <a:rPr lang="en-US"/>
            <a:t>Nurse Practitioners</a:t>
          </a:r>
        </a:p>
        <a:p>
          <a:endParaRPr lang="en-US" b="0"/>
        </a:p>
      </xdr:txBody>
    </xdr:sp>
    <xdr:clientData/>
  </xdr:twoCellAnchor>
  <xdr:twoCellAnchor>
    <xdr:from>
      <xdr:col>0</xdr:col>
      <xdr:colOff>28575</xdr:colOff>
      <xdr:row>868</xdr:row>
      <xdr:rowOff>38100</xdr:rowOff>
    </xdr:from>
    <xdr:to>
      <xdr:col>9</xdr:col>
      <xdr:colOff>276225</xdr:colOff>
      <xdr:row>872</xdr:row>
      <xdr:rowOff>133350</xdr:rowOff>
    </xdr:to>
    <xdr:sp macro="" textlink="">
      <xdr:nvSpPr>
        <xdr:cNvPr id="1271" name="Rectangle 1270">
          <a:extLst>
            <a:ext uri="{FF2B5EF4-FFF2-40B4-BE49-F238E27FC236}">
              <a16:creationId xmlns:a16="http://schemas.microsoft.com/office/drawing/2014/main" id="{8A6F4F35-E67C-4D7C-899B-D1DE053A2D95}"/>
            </a:ext>
          </a:extLst>
        </xdr:cNvPr>
        <xdr:cNvSpPr/>
      </xdr:nvSpPr>
      <xdr:spPr>
        <a:xfrm>
          <a:off x="28575" y="68961000"/>
          <a:ext cx="5734050" cy="857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a:t>Aleca</a:t>
          </a:r>
          <a:r>
            <a:rPr lang="en-US" sz="1100" baseline="0"/>
            <a:t> - Offers hospice and home health; geriatric care education is highly relevant </a:t>
          </a:r>
        </a:p>
        <a:p>
          <a:endParaRPr lang="en-US" sz="1100" baseline="0"/>
        </a:p>
        <a:p>
          <a:r>
            <a:rPr lang="en-US" sz="1100" b="1" baseline="0"/>
            <a:t>Alante</a:t>
          </a:r>
          <a:r>
            <a:rPr lang="en-US" sz="1100" baseline="0"/>
            <a:t> - Involved in chronic care and palliative management; benefits from geriatric focused education </a:t>
          </a:r>
          <a:endParaRPr lang="en-US"/>
        </a:p>
      </xdr:txBody>
    </xdr:sp>
    <xdr:clientData/>
  </xdr:twoCellAnchor>
  <xdr:twoCellAnchor>
    <xdr:from>
      <xdr:col>9</xdr:col>
      <xdr:colOff>419100</xdr:colOff>
      <xdr:row>867</xdr:row>
      <xdr:rowOff>85724</xdr:rowOff>
    </xdr:from>
    <xdr:to>
      <xdr:col>13</xdr:col>
      <xdr:colOff>390525</xdr:colOff>
      <xdr:row>872</xdr:row>
      <xdr:rowOff>47625</xdr:rowOff>
    </xdr:to>
    <xdr:sp macro="" textlink="">
      <xdr:nvSpPr>
        <xdr:cNvPr id="1272" name="Rectangle 1271">
          <a:hlinkClick xmlns:r="http://schemas.openxmlformats.org/officeDocument/2006/relationships" r:id="rId41"/>
          <a:extLst>
            <a:ext uri="{FF2B5EF4-FFF2-40B4-BE49-F238E27FC236}">
              <a16:creationId xmlns:a16="http://schemas.microsoft.com/office/drawing/2014/main" id="{95EDF4B1-D299-48BB-9C09-04D1A086B827}"/>
            </a:ext>
          </a:extLst>
        </xdr:cNvPr>
        <xdr:cNvSpPr/>
      </xdr:nvSpPr>
      <xdr:spPr>
        <a:xfrm>
          <a:off x="5905500" y="68818124"/>
          <a:ext cx="2409825" cy="914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41st Annual Geriatric Care 2025 CNE Nursing Conference | Mayo Clinic School of Continuous Professional Development</a:t>
          </a:r>
          <a:endParaRPr lang="en-US" sz="1100">
            <a:solidFill>
              <a:schemeClr val="bg1"/>
            </a:solidFill>
          </a:endParaRPr>
        </a:p>
      </xdr:txBody>
    </xdr:sp>
    <xdr:clientData/>
  </xdr:twoCellAnchor>
  <xdr:twoCellAnchor>
    <xdr:from>
      <xdr:col>0</xdr:col>
      <xdr:colOff>95250</xdr:colOff>
      <xdr:row>876</xdr:row>
      <xdr:rowOff>95250</xdr:rowOff>
    </xdr:from>
    <xdr:to>
      <xdr:col>0</xdr:col>
      <xdr:colOff>438150</xdr:colOff>
      <xdr:row>878</xdr:row>
      <xdr:rowOff>28575</xdr:rowOff>
    </xdr:to>
    <xdr:sp macro="" textlink="">
      <xdr:nvSpPr>
        <xdr:cNvPr id="1273" name="Star: 5 Points 1272">
          <a:extLst>
            <a:ext uri="{FF2B5EF4-FFF2-40B4-BE49-F238E27FC236}">
              <a16:creationId xmlns:a16="http://schemas.microsoft.com/office/drawing/2014/main" id="{C720CB29-68AD-47D5-A3DB-098F03990AD7}"/>
            </a:ext>
          </a:extLst>
        </xdr:cNvPr>
        <xdr:cNvSpPr/>
      </xdr:nvSpPr>
      <xdr:spPr>
        <a:xfrm>
          <a:off x="95250" y="706945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876</xdr:row>
      <xdr:rowOff>114300</xdr:rowOff>
    </xdr:from>
    <xdr:to>
      <xdr:col>1</xdr:col>
      <xdr:colOff>247650</xdr:colOff>
      <xdr:row>878</xdr:row>
      <xdr:rowOff>47625</xdr:rowOff>
    </xdr:to>
    <xdr:sp macro="" textlink="">
      <xdr:nvSpPr>
        <xdr:cNvPr id="1274" name="Star: 5 Points 1273">
          <a:extLst>
            <a:ext uri="{FF2B5EF4-FFF2-40B4-BE49-F238E27FC236}">
              <a16:creationId xmlns:a16="http://schemas.microsoft.com/office/drawing/2014/main" id="{E2A71EDC-270F-4463-9D26-9782743434E2}"/>
            </a:ext>
          </a:extLst>
        </xdr:cNvPr>
        <xdr:cNvSpPr/>
      </xdr:nvSpPr>
      <xdr:spPr>
        <a:xfrm>
          <a:off x="514350" y="70713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876</xdr:row>
      <xdr:rowOff>114300</xdr:rowOff>
    </xdr:from>
    <xdr:to>
      <xdr:col>2</xdr:col>
      <xdr:colOff>76200</xdr:colOff>
      <xdr:row>878</xdr:row>
      <xdr:rowOff>47625</xdr:rowOff>
    </xdr:to>
    <xdr:sp macro="" textlink="">
      <xdr:nvSpPr>
        <xdr:cNvPr id="1275" name="Star: 5 Points 1274">
          <a:extLst>
            <a:ext uri="{FF2B5EF4-FFF2-40B4-BE49-F238E27FC236}">
              <a16:creationId xmlns:a16="http://schemas.microsoft.com/office/drawing/2014/main" id="{376A1A5A-905D-485C-AEBC-821A7518B772}"/>
            </a:ext>
          </a:extLst>
        </xdr:cNvPr>
        <xdr:cNvSpPr/>
      </xdr:nvSpPr>
      <xdr:spPr>
        <a:xfrm>
          <a:off x="952500" y="70713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876</xdr:row>
      <xdr:rowOff>114300</xdr:rowOff>
    </xdr:from>
    <xdr:to>
      <xdr:col>2</xdr:col>
      <xdr:colOff>523875</xdr:colOff>
      <xdr:row>878</xdr:row>
      <xdr:rowOff>47625</xdr:rowOff>
    </xdr:to>
    <xdr:sp macro="" textlink="">
      <xdr:nvSpPr>
        <xdr:cNvPr id="1276" name="Star: 5 Points 1275">
          <a:extLst>
            <a:ext uri="{FF2B5EF4-FFF2-40B4-BE49-F238E27FC236}">
              <a16:creationId xmlns:a16="http://schemas.microsoft.com/office/drawing/2014/main" id="{4371F84A-89DB-4505-9355-5A81FDC23DAA}"/>
            </a:ext>
          </a:extLst>
        </xdr:cNvPr>
        <xdr:cNvSpPr/>
      </xdr:nvSpPr>
      <xdr:spPr>
        <a:xfrm>
          <a:off x="1400175" y="70713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876</xdr:row>
      <xdr:rowOff>123825</xdr:rowOff>
    </xdr:from>
    <xdr:to>
      <xdr:col>3</xdr:col>
      <xdr:colOff>342900</xdr:colOff>
      <xdr:row>878</xdr:row>
      <xdr:rowOff>57150</xdr:rowOff>
    </xdr:to>
    <xdr:sp macro="" textlink="">
      <xdr:nvSpPr>
        <xdr:cNvPr id="1277" name="Star: 5 Points 1276">
          <a:extLst>
            <a:ext uri="{FF2B5EF4-FFF2-40B4-BE49-F238E27FC236}">
              <a16:creationId xmlns:a16="http://schemas.microsoft.com/office/drawing/2014/main" id="{0507ECE6-7C3A-4A9F-988F-BF9ADCCD9DD3}"/>
            </a:ext>
          </a:extLst>
        </xdr:cNvPr>
        <xdr:cNvSpPr/>
      </xdr:nvSpPr>
      <xdr:spPr>
        <a:xfrm>
          <a:off x="1828800" y="707231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880</xdr:row>
      <xdr:rowOff>57151</xdr:rowOff>
    </xdr:from>
    <xdr:to>
      <xdr:col>4</xdr:col>
      <xdr:colOff>57150</xdr:colOff>
      <xdr:row>884</xdr:row>
      <xdr:rowOff>9526</xdr:rowOff>
    </xdr:to>
    <xdr:sp macro="" textlink="">
      <xdr:nvSpPr>
        <xdr:cNvPr id="1278" name="Rectangle 1277">
          <a:extLst>
            <a:ext uri="{FF2B5EF4-FFF2-40B4-BE49-F238E27FC236}">
              <a16:creationId xmlns:a16="http://schemas.microsoft.com/office/drawing/2014/main" id="{99420030-0D24-407D-A0DE-92DA97D839FE}"/>
            </a:ext>
          </a:extLst>
        </xdr:cNvPr>
        <xdr:cNvSpPr/>
      </xdr:nvSpPr>
      <xdr:spPr>
        <a:xfrm>
          <a:off x="85725" y="714279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886</xdr:row>
      <xdr:rowOff>76201</xdr:rowOff>
    </xdr:from>
    <xdr:to>
      <xdr:col>4</xdr:col>
      <xdr:colOff>57150</xdr:colOff>
      <xdr:row>890</xdr:row>
      <xdr:rowOff>38101</xdr:rowOff>
    </xdr:to>
    <xdr:sp macro="" textlink="">
      <xdr:nvSpPr>
        <xdr:cNvPr id="1279" name="Rectangle 1278">
          <a:extLst>
            <a:ext uri="{FF2B5EF4-FFF2-40B4-BE49-F238E27FC236}">
              <a16:creationId xmlns:a16="http://schemas.microsoft.com/office/drawing/2014/main" id="{B20C2AC5-402B-426E-A9EF-F442A4D8AABC}"/>
            </a:ext>
          </a:extLst>
        </xdr:cNvPr>
        <xdr:cNvSpPr/>
      </xdr:nvSpPr>
      <xdr:spPr>
        <a:xfrm>
          <a:off x="85725" y="726090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892</xdr:row>
      <xdr:rowOff>123825</xdr:rowOff>
    </xdr:from>
    <xdr:to>
      <xdr:col>4</xdr:col>
      <xdr:colOff>76200</xdr:colOff>
      <xdr:row>901</xdr:row>
      <xdr:rowOff>9525</xdr:rowOff>
    </xdr:to>
    <xdr:sp macro="" textlink="">
      <xdr:nvSpPr>
        <xdr:cNvPr id="1280" name="Rectangle 1279">
          <a:extLst>
            <a:ext uri="{FF2B5EF4-FFF2-40B4-BE49-F238E27FC236}">
              <a16:creationId xmlns:a16="http://schemas.microsoft.com/office/drawing/2014/main" id="{A1AF7D06-980F-42E0-81CE-2A93FC3100F6}"/>
            </a:ext>
          </a:extLst>
        </xdr:cNvPr>
        <xdr:cNvSpPr/>
      </xdr:nvSpPr>
      <xdr:spPr>
        <a:xfrm>
          <a:off x="104775" y="7380922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880</xdr:row>
      <xdr:rowOff>38100</xdr:rowOff>
    </xdr:from>
    <xdr:to>
      <xdr:col>8</xdr:col>
      <xdr:colOff>333375</xdr:colOff>
      <xdr:row>882</xdr:row>
      <xdr:rowOff>161925</xdr:rowOff>
    </xdr:to>
    <xdr:sp macro="" textlink="">
      <xdr:nvSpPr>
        <xdr:cNvPr id="1281" name="Rectangle 1280">
          <a:extLst>
            <a:ext uri="{FF2B5EF4-FFF2-40B4-BE49-F238E27FC236}">
              <a16:creationId xmlns:a16="http://schemas.microsoft.com/office/drawing/2014/main" id="{2A80B391-7B86-4C96-8FB5-2C453435A117}"/>
            </a:ext>
          </a:extLst>
        </xdr:cNvPr>
        <xdr:cNvSpPr/>
      </xdr:nvSpPr>
      <xdr:spPr>
        <a:xfrm>
          <a:off x="3028950" y="71408925"/>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884</xdr:row>
      <xdr:rowOff>76201</xdr:rowOff>
    </xdr:from>
    <xdr:to>
      <xdr:col>8</xdr:col>
      <xdr:colOff>352425</xdr:colOff>
      <xdr:row>888</xdr:row>
      <xdr:rowOff>38101</xdr:rowOff>
    </xdr:to>
    <xdr:sp macro="" textlink="">
      <xdr:nvSpPr>
        <xdr:cNvPr id="1282" name="Rectangle 1281">
          <a:extLst>
            <a:ext uri="{FF2B5EF4-FFF2-40B4-BE49-F238E27FC236}">
              <a16:creationId xmlns:a16="http://schemas.microsoft.com/office/drawing/2014/main" id="{8593F628-4435-402D-A69A-840151CF750A}"/>
            </a:ext>
          </a:extLst>
        </xdr:cNvPr>
        <xdr:cNvSpPr/>
      </xdr:nvSpPr>
      <xdr:spPr>
        <a:xfrm>
          <a:off x="3028950" y="72218551"/>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890</xdr:row>
      <xdr:rowOff>104775</xdr:rowOff>
    </xdr:from>
    <xdr:to>
      <xdr:col>8</xdr:col>
      <xdr:colOff>352425</xdr:colOff>
      <xdr:row>892</xdr:row>
      <xdr:rowOff>171450</xdr:rowOff>
    </xdr:to>
    <xdr:sp macro="" textlink="">
      <xdr:nvSpPr>
        <xdr:cNvPr id="1283" name="Rectangle 1282">
          <a:extLst>
            <a:ext uri="{FF2B5EF4-FFF2-40B4-BE49-F238E27FC236}">
              <a16:creationId xmlns:a16="http://schemas.microsoft.com/office/drawing/2014/main" id="{1F184B5C-0EC6-41D7-944E-B62060564A92}"/>
            </a:ext>
          </a:extLst>
        </xdr:cNvPr>
        <xdr:cNvSpPr/>
      </xdr:nvSpPr>
      <xdr:spPr>
        <a:xfrm>
          <a:off x="3019426" y="73399650"/>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894</xdr:row>
      <xdr:rowOff>28575</xdr:rowOff>
    </xdr:from>
    <xdr:to>
      <xdr:col>6</xdr:col>
      <xdr:colOff>171449</xdr:colOff>
      <xdr:row>895</xdr:row>
      <xdr:rowOff>171450</xdr:rowOff>
    </xdr:to>
    <xdr:sp macro="" textlink="">
      <xdr:nvSpPr>
        <xdr:cNvPr id="1284" name="Rectangle 1283">
          <a:extLst>
            <a:ext uri="{FF2B5EF4-FFF2-40B4-BE49-F238E27FC236}">
              <a16:creationId xmlns:a16="http://schemas.microsoft.com/office/drawing/2014/main" id="{418F5556-553A-4317-81C6-7EB8C6FE2302}"/>
            </a:ext>
          </a:extLst>
        </xdr:cNvPr>
        <xdr:cNvSpPr/>
      </xdr:nvSpPr>
      <xdr:spPr>
        <a:xfrm>
          <a:off x="3067050" y="740949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8</xdr:col>
      <xdr:colOff>485775</xdr:colOff>
      <xdr:row>876</xdr:row>
      <xdr:rowOff>180974</xdr:rowOff>
    </xdr:from>
    <xdr:to>
      <xdr:col>13</xdr:col>
      <xdr:colOff>552450</xdr:colOff>
      <xdr:row>909</xdr:row>
      <xdr:rowOff>142875</xdr:rowOff>
    </xdr:to>
    <xdr:sp macro="" textlink="">
      <xdr:nvSpPr>
        <xdr:cNvPr id="1285" name="Rectangle 1284">
          <a:extLst>
            <a:ext uri="{FF2B5EF4-FFF2-40B4-BE49-F238E27FC236}">
              <a16:creationId xmlns:a16="http://schemas.microsoft.com/office/drawing/2014/main" id="{BECF96EB-1652-467F-ADA9-A7F14D8A8785}"/>
            </a:ext>
          </a:extLst>
        </xdr:cNvPr>
        <xdr:cNvSpPr/>
      </xdr:nvSpPr>
      <xdr:spPr>
        <a:xfrm>
          <a:off x="5362575" y="70780274"/>
          <a:ext cx="3114675" cy="62865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b="0"/>
            <a:t>​</a:t>
          </a:r>
          <a:r>
            <a:rPr lang="en-US"/>
            <a:t>The </a:t>
          </a:r>
          <a:r>
            <a:rPr lang="en-US" b="1"/>
            <a:t>ARN Rehabilitation Nursing Conference</a:t>
          </a:r>
          <a:r>
            <a:rPr lang="en-US"/>
            <a:t> aims to advance the practice of rehabilitation nursing by providing attendees with the latest evidence-based treatments, organizational tools, and updates on advocacy efforts and regulations. The conference also focuses on nursing self-care and offers inspirational stories to highlight the impact of rehabilitation nurses on patient outcomes. ​</a:t>
          </a:r>
          <a:endParaRPr lang="en-US" b="0"/>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b="1"/>
            <a:t>Format</a:t>
          </a:r>
          <a:r>
            <a:rPr lang="en-US"/>
            <a:t>: The conference offers a hybrid format, allowing participants to choose between virtual sessions, in-person attendance, or a combination of both. This setup provides flexibility and ensures access to all sessions, including on-demand content. ​</a:t>
          </a:r>
        </a:p>
        <a:p>
          <a:r>
            <a:rPr lang="en-US" b="1"/>
            <a:t>Key Features</a:t>
          </a:r>
          <a:r>
            <a:rPr lang="en-US"/>
            <a:t>:</a:t>
          </a:r>
        </a:p>
        <a:p>
          <a:r>
            <a:rPr lang="en-US" b="1"/>
            <a:t>Educational Sessions</a:t>
          </a:r>
          <a:r>
            <a:rPr lang="en-US"/>
            <a:t>: Covering a breadth of topics, including evidence-based treatments, organizational tools, specific education areas like pediatric rehab, stroke, spinal cord injury, and updates on advocacy efforts and regulations</a:t>
          </a:r>
        </a:p>
        <a:p>
          <a:r>
            <a:rPr lang="en-US" b="1"/>
            <a:t>Continuing Nursing Education (CNE) Credits</a:t>
          </a:r>
          <a:r>
            <a:rPr lang="en-US"/>
            <a:t>: Opportunities to earn CNE credits through live sessions and on-demand recordings. </a:t>
          </a:r>
        </a:p>
        <a:p>
          <a:r>
            <a:rPr lang="en-US" b="1"/>
            <a:t>Networking Opportunities</a:t>
          </a:r>
          <a:r>
            <a:rPr lang="en-US"/>
            <a:t>: Engage with rehabilitation nursing professionals from various settings to share experiences and best practices. ​</a:t>
          </a:r>
        </a:p>
        <a:p>
          <a:r>
            <a:rPr lang="en-US" b="1"/>
            <a:t>Exhibit Hall</a:t>
          </a:r>
          <a:r>
            <a:rPr lang="en-US"/>
            <a:t>: Access to industry supporters and experts showcasing the latest trends and products in rehabilitation nursing. ​</a:t>
          </a:r>
        </a:p>
        <a:p>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a:t>Sheraton Phoenix Downtown, Phoenix, Arizona</a:t>
          </a:r>
          <a:endParaRPr lang="en-US" sz="1100"/>
        </a:p>
      </xdr:txBody>
    </xdr:sp>
    <xdr:clientData/>
  </xdr:twoCellAnchor>
  <xdr:twoCellAnchor>
    <xdr:from>
      <xdr:col>0</xdr:col>
      <xdr:colOff>76199</xdr:colOff>
      <xdr:row>902</xdr:row>
      <xdr:rowOff>38101</xdr:rowOff>
    </xdr:from>
    <xdr:to>
      <xdr:col>4</xdr:col>
      <xdr:colOff>95250</xdr:colOff>
      <xdr:row>910</xdr:row>
      <xdr:rowOff>152400</xdr:rowOff>
    </xdr:to>
    <xdr:sp macro="" textlink="">
      <xdr:nvSpPr>
        <xdr:cNvPr id="1286" name="Rectangle 1285">
          <a:extLst>
            <a:ext uri="{FF2B5EF4-FFF2-40B4-BE49-F238E27FC236}">
              <a16:creationId xmlns:a16="http://schemas.microsoft.com/office/drawing/2014/main" id="{440B51B8-DBBE-4621-A6A3-C9B3E466A237}"/>
            </a:ext>
          </a:extLst>
        </xdr:cNvPr>
        <xdr:cNvSpPr/>
      </xdr:nvSpPr>
      <xdr:spPr>
        <a:xfrm>
          <a:off x="76199" y="75628501"/>
          <a:ext cx="2457451" cy="163829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In-Person Registration (July 31–August 2, 2025)</a:t>
          </a:r>
          <a:r>
            <a:rPr lang="en-US"/>
            <a:t>:</a:t>
          </a:r>
        </a:p>
        <a:p>
          <a:r>
            <a:rPr lang="en-US" b="1"/>
            <a:t>ARN Members</a:t>
          </a:r>
          <a:r>
            <a:rPr lang="en-US"/>
            <a:t>: $625​</a:t>
          </a:r>
        </a:p>
        <a:p>
          <a:r>
            <a:rPr lang="en-US" b="1"/>
            <a:t>Non-Members</a:t>
          </a:r>
          <a:r>
            <a:rPr lang="en-US"/>
            <a:t>: $809</a:t>
          </a:r>
        </a:p>
        <a:p>
          <a:r>
            <a:rPr lang="en-US" b="1"/>
            <a:t>Group Discounts</a:t>
          </a:r>
          <a:r>
            <a:rPr lang="en-US"/>
            <a:t>: Available for groups of 2–4 and 5+ participants.</a:t>
          </a:r>
        </a:p>
      </xdr:txBody>
    </xdr:sp>
    <xdr:clientData/>
  </xdr:twoCellAnchor>
  <xdr:twoCellAnchor>
    <xdr:from>
      <xdr:col>4</xdr:col>
      <xdr:colOff>171451</xdr:colOff>
      <xdr:row>897</xdr:row>
      <xdr:rowOff>47625</xdr:rowOff>
    </xdr:from>
    <xdr:to>
      <xdr:col>8</xdr:col>
      <xdr:colOff>342901</xdr:colOff>
      <xdr:row>912</xdr:row>
      <xdr:rowOff>133350</xdr:rowOff>
    </xdr:to>
    <xdr:sp macro="" textlink="">
      <xdr:nvSpPr>
        <xdr:cNvPr id="1287" name="Rectangle 1286">
          <a:extLst>
            <a:ext uri="{FF2B5EF4-FFF2-40B4-BE49-F238E27FC236}">
              <a16:creationId xmlns:a16="http://schemas.microsoft.com/office/drawing/2014/main" id="{FF464566-2C41-4DCA-8A17-AECA691F7A09}"/>
            </a:ext>
          </a:extLst>
        </xdr:cNvPr>
        <xdr:cNvSpPr/>
      </xdr:nvSpPr>
      <xdr:spPr>
        <a:xfrm>
          <a:off x="2609851" y="74685525"/>
          <a:ext cx="2609850" cy="29432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The conference is designed for rehabilitation nursing professionals across various care settings, including:​</a:t>
          </a:r>
        </a:p>
        <a:p>
          <a:endParaRPr lang="en-US"/>
        </a:p>
        <a:p>
          <a:r>
            <a:rPr lang="en-US"/>
            <a:t>Acute care</a:t>
          </a:r>
        </a:p>
        <a:p>
          <a:r>
            <a:rPr lang="en-US"/>
            <a:t>Inpatient rehabilitation units​</a:t>
          </a:r>
        </a:p>
        <a:p>
          <a:r>
            <a:rPr lang="en-US"/>
            <a:t>Long-term care hospitals</a:t>
          </a:r>
        </a:p>
        <a:p>
          <a:r>
            <a:rPr lang="en-US"/>
            <a:t>Skilled nursing facilities​</a:t>
          </a:r>
        </a:p>
        <a:p>
          <a:r>
            <a:rPr lang="en-US"/>
            <a:t>Home health agencies​</a:t>
          </a:r>
        </a:p>
        <a:p>
          <a:r>
            <a:rPr lang="en-US"/>
            <a:t>Academic institutions</a:t>
          </a:r>
        </a:p>
        <a:p>
          <a:endParaRPr lang="en-US"/>
        </a:p>
        <a:p>
          <a:r>
            <a:rPr lang="en-US"/>
            <a:t>It's an ideal platform for registered nurses (RNs), nurse practitioners (NPs), clinical nurse specialists (CNSs), and other healthcare professionals involved in rehabilitation care. </a:t>
          </a:r>
        </a:p>
        <a:p>
          <a:endParaRPr lang="en-US" b="0"/>
        </a:p>
      </xdr:txBody>
    </xdr:sp>
    <xdr:clientData/>
  </xdr:twoCellAnchor>
  <xdr:twoCellAnchor>
    <xdr:from>
      <xdr:col>0</xdr:col>
      <xdr:colOff>0</xdr:colOff>
      <xdr:row>912</xdr:row>
      <xdr:rowOff>180975</xdr:rowOff>
    </xdr:from>
    <xdr:to>
      <xdr:col>9</xdr:col>
      <xdr:colOff>371474</xdr:colOff>
      <xdr:row>921</xdr:row>
      <xdr:rowOff>114300</xdr:rowOff>
    </xdr:to>
    <xdr:sp macro="" textlink="">
      <xdr:nvSpPr>
        <xdr:cNvPr id="1288" name="Rectangle 1287">
          <a:extLst>
            <a:ext uri="{FF2B5EF4-FFF2-40B4-BE49-F238E27FC236}">
              <a16:creationId xmlns:a16="http://schemas.microsoft.com/office/drawing/2014/main" id="{E0D44688-8133-4C68-912D-DFE63A605A10}"/>
            </a:ext>
          </a:extLst>
        </xdr:cNvPr>
        <xdr:cNvSpPr/>
      </xdr:nvSpPr>
      <xdr:spPr>
        <a:xfrm>
          <a:off x="0" y="77676375"/>
          <a:ext cx="5857874" cy="16478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Sante</a:t>
          </a:r>
          <a:r>
            <a:rPr lang="en-US"/>
            <a:t>: Specializes in short-term skilled nursing facilities and rehabilitation services. Given the conference's emphasis on rehabilitation nursing and its location in Arizona, it's highly relevant for Sante's staff.​</a:t>
          </a:r>
        </a:p>
        <a:p>
          <a:r>
            <a:rPr lang="en-US" b="1"/>
            <a:t>Aleca</a:t>
          </a:r>
          <a:r>
            <a:rPr lang="en-US"/>
            <a:t>: Provides home health care, hospice, outpatient therapy, and work injury services. The conference's content on evidence-based treatments and best practices in rehabilitation aligns with Aleca's services, making it beneficial for their team.​</a:t>
          </a:r>
        </a:p>
        <a:p>
          <a:r>
            <a:rPr lang="en-US" b="1"/>
            <a:t>Alante</a:t>
          </a:r>
          <a:r>
            <a:rPr lang="en-US"/>
            <a:t>: Focuses on chronic care management, palliative care, in-home visits, and work injury programs. The insights gained from the conference can enhance Alante's approach to patient care, justifying their participation.</a:t>
          </a:r>
        </a:p>
      </xdr:txBody>
    </xdr:sp>
    <xdr:clientData/>
  </xdr:twoCellAnchor>
  <xdr:twoCellAnchor>
    <xdr:from>
      <xdr:col>9</xdr:col>
      <xdr:colOff>419100</xdr:colOff>
      <xdr:row>911</xdr:row>
      <xdr:rowOff>85724</xdr:rowOff>
    </xdr:from>
    <xdr:to>
      <xdr:col>13</xdr:col>
      <xdr:colOff>390525</xdr:colOff>
      <xdr:row>916</xdr:row>
      <xdr:rowOff>47625</xdr:rowOff>
    </xdr:to>
    <xdr:sp macro="" textlink="">
      <xdr:nvSpPr>
        <xdr:cNvPr id="1289" name="Rectangle 1288">
          <a:hlinkClick xmlns:r="http://schemas.openxmlformats.org/officeDocument/2006/relationships" r:id="rId42"/>
          <a:extLst>
            <a:ext uri="{FF2B5EF4-FFF2-40B4-BE49-F238E27FC236}">
              <a16:creationId xmlns:a16="http://schemas.microsoft.com/office/drawing/2014/main" id="{EE874603-C7E1-4C8E-BE92-E31DE4C55EB3}"/>
            </a:ext>
          </a:extLst>
        </xdr:cNvPr>
        <xdr:cNvSpPr/>
      </xdr:nvSpPr>
      <xdr:spPr>
        <a:xfrm>
          <a:off x="5905500" y="77390624"/>
          <a:ext cx="2409825" cy="914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ARN’s 2025 Rehabilitation Nursing Conference – In-Person Only | Association of Rehabilitation Nurses</a:t>
          </a:r>
          <a:endParaRPr lang="en-US" sz="1100">
            <a:solidFill>
              <a:schemeClr val="bg1"/>
            </a:solidFill>
          </a:endParaRPr>
        </a:p>
      </xdr:txBody>
    </xdr:sp>
    <xdr:clientData/>
  </xdr:twoCellAnchor>
  <xdr:twoCellAnchor>
    <xdr:from>
      <xdr:col>0</xdr:col>
      <xdr:colOff>95250</xdr:colOff>
      <xdr:row>925</xdr:row>
      <xdr:rowOff>95250</xdr:rowOff>
    </xdr:from>
    <xdr:to>
      <xdr:col>0</xdr:col>
      <xdr:colOff>438150</xdr:colOff>
      <xdr:row>927</xdr:row>
      <xdr:rowOff>28575</xdr:rowOff>
    </xdr:to>
    <xdr:sp macro="" textlink="">
      <xdr:nvSpPr>
        <xdr:cNvPr id="1290" name="Star: 5 Points 1289">
          <a:extLst>
            <a:ext uri="{FF2B5EF4-FFF2-40B4-BE49-F238E27FC236}">
              <a16:creationId xmlns:a16="http://schemas.microsoft.com/office/drawing/2014/main" id="{B0C0FB38-6A92-456E-BC1D-9721B450C07F}"/>
            </a:ext>
          </a:extLst>
        </xdr:cNvPr>
        <xdr:cNvSpPr/>
      </xdr:nvSpPr>
      <xdr:spPr>
        <a:xfrm>
          <a:off x="95250" y="966025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925</xdr:row>
      <xdr:rowOff>114300</xdr:rowOff>
    </xdr:from>
    <xdr:to>
      <xdr:col>1</xdr:col>
      <xdr:colOff>247650</xdr:colOff>
      <xdr:row>927</xdr:row>
      <xdr:rowOff>47625</xdr:rowOff>
    </xdr:to>
    <xdr:sp macro="" textlink="">
      <xdr:nvSpPr>
        <xdr:cNvPr id="1291" name="Star: 5 Points 1290">
          <a:extLst>
            <a:ext uri="{FF2B5EF4-FFF2-40B4-BE49-F238E27FC236}">
              <a16:creationId xmlns:a16="http://schemas.microsoft.com/office/drawing/2014/main" id="{C3B299A6-BCC3-4B1F-8090-9879631F726B}"/>
            </a:ext>
          </a:extLst>
        </xdr:cNvPr>
        <xdr:cNvSpPr/>
      </xdr:nvSpPr>
      <xdr:spPr>
        <a:xfrm>
          <a:off x="514350" y="96621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925</xdr:row>
      <xdr:rowOff>114300</xdr:rowOff>
    </xdr:from>
    <xdr:to>
      <xdr:col>2</xdr:col>
      <xdr:colOff>76200</xdr:colOff>
      <xdr:row>927</xdr:row>
      <xdr:rowOff>47625</xdr:rowOff>
    </xdr:to>
    <xdr:sp macro="" textlink="">
      <xdr:nvSpPr>
        <xdr:cNvPr id="1292" name="Star: 5 Points 1291">
          <a:extLst>
            <a:ext uri="{FF2B5EF4-FFF2-40B4-BE49-F238E27FC236}">
              <a16:creationId xmlns:a16="http://schemas.microsoft.com/office/drawing/2014/main" id="{79DF2E3A-1555-4BB5-95BA-2894E6DA0C0C}"/>
            </a:ext>
          </a:extLst>
        </xdr:cNvPr>
        <xdr:cNvSpPr/>
      </xdr:nvSpPr>
      <xdr:spPr>
        <a:xfrm>
          <a:off x="952500" y="96621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925</xdr:row>
      <xdr:rowOff>114300</xdr:rowOff>
    </xdr:from>
    <xdr:to>
      <xdr:col>2</xdr:col>
      <xdr:colOff>523875</xdr:colOff>
      <xdr:row>927</xdr:row>
      <xdr:rowOff>47625</xdr:rowOff>
    </xdr:to>
    <xdr:sp macro="" textlink="">
      <xdr:nvSpPr>
        <xdr:cNvPr id="1293" name="Star: 5 Points 1292">
          <a:extLst>
            <a:ext uri="{FF2B5EF4-FFF2-40B4-BE49-F238E27FC236}">
              <a16:creationId xmlns:a16="http://schemas.microsoft.com/office/drawing/2014/main" id="{C5A19DC2-07A5-41AD-8862-262C15B45605}"/>
            </a:ext>
          </a:extLst>
        </xdr:cNvPr>
        <xdr:cNvSpPr/>
      </xdr:nvSpPr>
      <xdr:spPr>
        <a:xfrm>
          <a:off x="1400175" y="96621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925</xdr:row>
      <xdr:rowOff>123825</xdr:rowOff>
    </xdr:from>
    <xdr:to>
      <xdr:col>3</xdr:col>
      <xdr:colOff>342900</xdr:colOff>
      <xdr:row>927</xdr:row>
      <xdr:rowOff>57150</xdr:rowOff>
    </xdr:to>
    <xdr:sp macro="" textlink="">
      <xdr:nvSpPr>
        <xdr:cNvPr id="1294" name="Star: 5 Points 1293">
          <a:extLst>
            <a:ext uri="{FF2B5EF4-FFF2-40B4-BE49-F238E27FC236}">
              <a16:creationId xmlns:a16="http://schemas.microsoft.com/office/drawing/2014/main" id="{7C26F49C-63F4-4978-BCBF-AE69AB686DF3}"/>
            </a:ext>
          </a:extLst>
        </xdr:cNvPr>
        <xdr:cNvSpPr/>
      </xdr:nvSpPr>
      <xdr:spPr>
        <a:xfrm>
          <a:off x="1828800" y="966311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929</xdr:row>
      <xdr:rowOff>57151</xdr:rowOff>
    </xdr:from>
    <xdr:to>
      <xdr:col>4</xdr:col>
      <xdr:colOff>57150</xdr:colOff>
      <xdr:row>933</xdr:row>
      <xdr:rowOff>9526</xdr:rowOff>
    </xdr:to>
    <xdr:sp macro="" textlink="">
      <xdr:nvSpPr>
        <xdr:cNvPr id="1295" name="Rectangle 1294">
          <a:extLst>
            <a:ext uri="{FF2B5EF4-FFF2-40B4-BE49-F238E27FC236}">
              <a16:creationId xmlns:a16="http://schemas.microsoft.com/office/drawing/2014/main" id="{780371BA-7F38-4A47-87EB-3E92618E7C1A}"/>
            </a:ext>
          </a:extLst>
        </xdr:cNvPr>
        <xdr:cNvSpPr/>
      </xdr:nvSpPr>
      <xdr:spPr>
        <a:xfrm>
          <a:off x="85725" y="973359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935</xdr:row>
      <xdr:rowOff>76201</xdr:rowOff>
    </xdr:from>
    <xdr:to>
      <xdr:col>4</xdr:col>
      <xdr:colOff>57150</xdr:colOff>
      <xdr:row>939</xdr:row>
      <xdr:rowOff>38101</xdr:rowOff>
    </xdr:to>
    <xdr:sp macro="" textlink="">
      <xdr:nvSpPr>
        <xdr:cNvPr id="1296" name="Rectangle 1295">
          <a:extLst>
            <a:ext uri="{FF2B5EF4-FFF2-40B4-BE49-F238E27FC236}">
              <a16:creationId xmlns:a16="http://schemas.microsoft.com/office/drawing/2014/main" id="{B07548B5-9C84-4398-940B-840CBFF213E5}"/>
            </a:ext>
          </a:extLst>
        </xdr:cNvPr>
        <xdr:cNvSpPr/>
      </xdr:nvSpPr>
      <xdr:spPr>
        <a:xfrm>
          <a:off x="85725" y="985170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941</xdr:row>
      <xdr:rowOff>123825</xdr:rowOff>
    </xdr:from>
    <xdr:to>
      <xdr:col>4</xdr:col>
      <xdr:colOff>76200</xdr:colOff>
      <xdr:row>950</xdr:row>
      <xdr:rowOff>9525</xdr:rowOff>
    </xdr:to>
    <xdr:sp macro="" textlink="">
      <xdr:nvSpPr>
        <xdr:cNvPr id="1297" name="Rectangle 1296">
          <a:extLst>
            <a:ext uri="{FF2B5EF4-FFF2-40B4-BE49-F238E27FC236}">
              <a16:creationId xmlns:a16="http://schemas.microsoft.com/office/drawing/2014/main" id="{54EB0B0D-3BEC-4EA0-9BDD-8F1C282A5AB1}"/>
            </a:ext>
          </a:extLst>
        </xdr:cNvPr>
        <xdr:cNvSpPr/>
      </xdr:nvSpPr>
      <xdr:spPr>
        <a:xfrm>
          <a:off x="104775" y="9971722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929</xdr:row>
      <xdr:rowOff>38100</xdr:rowOff>
    </xdr:from>
    <xdr:to>
      <xdr:col>8</xdr:col>
      <xdr:colOff>333375</xdr:colOff>
      <xdr:row>931</xdr:row>
      <xdr:rowOff>161925</xdr:rowOff>
    </xdr:to>
    <xdr:sp macro="" textlink="">
      <xdr:nvSpPr>
        <xdr:cNvPr id="1298" name="Rectangle 1297">
          <a:extLst>
            <a:ext uri="{FF2B5EF4-FFF2-40B4-BE49-F238E27FC236}">
              <a16:creationId xmlns:a16="http://schemas.microsoft.com/office/drawing/2014/main" id="{6BCA5176-F4EB-4718-ABC1-526D886A6DD7}"/>
            </a:ext>
          </a:extLst>
        </xdr:cNvPr>
        <xdr:cNvSpPr/>
      </xdr:nvSpPr>
      <xdr:spPr>
        <a:xfrm>
          <a:off x="3028950" y="97316925"/>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933</xdr:row>
      <xdr:rowOff>76201</xdr:rowOff>
    </xdr:from>
    <xdr:to>
      <xdr:col>8</xdr:col>
      <xdr:colOff>352425</xdr:colOff>
      <xdr:row>937</xdr:row>
      <xdr:rowOff>38101</xdr:rowOff>
    </xdr:to>
    <xdr:sp macro="" textlink="">
      <xdr:nvSpPr>
        <xdr:cNvPr id="1299" name="Rectangle 1298">
          <a:extLst>
            <a:ext uri="{FF2B5EF4-FFF2-40B4-BE49-F238E27FC236}">
              <a16:creationId xmlns:a16="http://schemas.microsoft.com/office/drawing/2014/main" id="{8579366F-DB6A-45C9-A92B-7AC50D5E8F88}"/>
            </a:ext>
          </a:extLst>
        </xdr:cNvPr>
        <xdr:cNvSpPr/>
      </xdr:nvSpPr>
      <xdr:spPr>
        <a:xfrm>
          <a:off x="3028950" y="98126551"/>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939</xdr:row>
      <xdr:rowOff>104775</xdr:rowOff>
    </xdr:from>
    <xdr:to>
      <xdr:col>8</xdr:col>
      <xdr:colOff>352425</xdr:colOff>
      <xdr:row>941</xdr:row>
      <xdr:rowOff>171450</xdr:rowOff>
    </xdr:to>
    <xdr:sp macro="" textlink="">
      <xdr:nvSpPr>
        <xdr:cNvPr id="1300" name="Rectangle 1299">
          <a:extLst>
            <a:ext uri="{FF2B5EF4-FFF2-40B4-BE49-F238E27FC236}">
              <a16:creationId xmlns:a16="http://schemas.microsoft.com/office/drawing/2014/main" id="{2AE3010E-EEA3-4A12-8E33-B23E8D72E8EF}"/>
            </a:ext>
          </a:extLst>
        </xdr:cNvPr>
        <xdr:cNvSpPr/>
      </xdr:nvSpPr>
      <xdr:spPr>
        <a:xfrm>
          <a:off x="3019426" y="99307650"/>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Would be good for Kerri to attend?</a:t>
          </a:r>
          <a:r>
            <a:rPr lang="en-US" sz="1100" b="0" i="0" baseline="0">
              <a:solidFill>
                <a:schemeClr val="lt1"/>
              </a:solidFill>
              <a:effectLst/>
              <a:latin typeface="+mn-lt"/>
              <a:ea typeface="+mn-ea"/>
              <a:cs typeface="+mn-cs"/>
            </a:rPr>
            <a:t> </a:t>
          </a:r>
          <a:endParaRPr lang="en-US" sz="1100"/>
        </a:p>
      </xdr:txBody>
    </xdr:sp>
    <xdr:clientData/>
  </xdr:twoCellAnchor>
  <xdr:twoCellAnchor>
    <xdr:from>
      <xdr:col>5</xdr:col>
      <xdr:colOff>19050</xdr:colOff>
      <xdr:row>943</xdr:row>
      <xdr:rowOff>28575</xdr:rowOff>
    </xdr:from>
    <xdr:to>
      <xdr:col>6</xdr:col>
      <xdr:colOff>171449</xdr:colOff>
      <xdr:row>944</xdr:row>
      <xdr:rowOff>171450</xdr:rowOff>
    </xdr:to>
    <xdr:sp macro="" textlink="">
      <xdr:nvSpPr>
        <xdr:cNvPr id="1301" name="Rectangle 1300">
          <a:extLst>
            <a:ext uri="{FF2B5EF4-FFF2-40B4-BE49-F238E27FC236}">
              <a16:creationId xmlns:a16="http://schemas.microsoft.com/office/drawing/2014/main" id="{B747BFFC-945C-429A-B08B-C8B9FC4F86BA}"/>
            </a:ext>
          </a:extLst>
        </xdr:cNvPr>
        <xdr:cNvSpPr/>
      </xdr:nvSpPr>
      <xdr:spPr>
        <a:xfrm>
          <a:off x="3067050" y="1000029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8</xdr:col>
      <xdr:colOff>485775</xdr:colOff>
      <xdr:row>925</xdr:row>
      <xdr:rowOff>180974</xdr:rowOff>
    </xdr:from>
    <xdr:to>
      <xdr:col>13</xdr:col>
      <xdr:colOff>552450</xdr:colOff>
      <xdr:row>950</xdr:row>
      <xdr:rowOff>190499</xdr:rowOff>
    </xdr:to>
    <xdr:sp macro="" textlink="">
      <xdr:nvSpPr>
        <xdr:cNvPr id="1302" name="Rectangle 1301">
          <a:extLst>
            <a:ext uri="{FF2B5EF4-FFF2-40B4-BE49-F238E27FC236}">
              <a16:creationId xmlns:a16="http://schemas.microsoft.com/office/drawing/2014/main" id="{1BA4200C-34C7-42A6-9427-3E92BC8AB11C}"/>
            </a:ext>
          </a:extLst>
        </xdr:cNvPr>
        <xdr:cNvSpPr/>
      </xdr:nvSpPr>
      <xdr:spPr>
        <a:xfrm>
          <a:off x="5362575" y="96688274"/>
          <a:ext cx="3114675" cy="48101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a:solidFill>
                <a:schemeClr val="lt1"/>
              </a:solidFill>
              <a:effectLst/>
              <a:latin typeface="+mn-lt"/>
              <a:ea typeface="+mn-ea"/>
              <a:cs typeface="+mn-cs"/>
            </a:rPr>
            <a:t>Purpose: </a:t>
          </a:r>
          <a:r>
            <a:rPr lang="en-US"/>
            <a:t>The </a:t>
          </a:r>
          <a:r>
            <a:rPr lang="en-US" b="1"/>
            <a:t>Annual Assembly of Hospice and Palliative Care</a:t>
          </a:r>
          <a:r>
            <a:rPr lang="en-US"/>
            <a:t> aims to advance the field by sharing cutting-edge research, clinical best practices, and practice-related guidance. It serves as a platform for professionals to collaborate, enhance their skills, and improve patient care in hospice and palliative settings. ​</a:t>
          </a:r>
        </a:p>
        <a:p>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a:t>Preconference workshops on February 5, offering up to 7.5 credit hours</a:t>
          </a:r>
        </a:p>
        <a:p>
          <a:r>
            <a:rPr lang="en-US"/>
            <a:t>Main conference sessions from February 6–8, offering up to 13.5 credit hours​</a:t>
          </a:r>
        </a:p>
        <a:p>
          <a:r>
            <a:rPr lang="en-US"/>
            <a:t>Over 45 hours of virtual on-demand pre-recorded content</a:t>
          </a:r>
        </a:p>
        <a:p>
          <a:r>
            <a:rPr lang="en-US"/>
            <a:t>Networking opportunities with professionals facing similar challenges</a:t>
          </a:r>
        </a:p>
        <a:p>
          <a:r>
            <a:rPr lang="en-US"/>
            <a:t>Exhibit hall access showcasing the latest industry innovations​</a:t>
          </a:r>
        </a:p>
        <a:p>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a:t>Colorado Convention Center, Denver, Colorado</a:t>
          </a:r>
        </a:p>
        <a:p>
          <a:endParaRPr lang="en-US"/>
        </a:p>
        <a:p>
          <a:r>
            <a:rPr lang="en-US" sz="1100" b="1"/>
            <a:t>Additional Notes</a:t>
          </a:r>
          <a:r>
            <a:rPr lang="en-US" sz="1100"/>
            <a:t>: Melissa</a:t>
          </a:r>
          <a:r>
            <a:rPr lang="en-US" sz="1100" baseline="0"/>
            <a:t> would like to attend it next year. Good recruiting event for our oregon location</a:t>
          </a:r>
          <a:endParaRPr lang="en-US" sz="1100"/>
        </a:p>
      </xdr:txBody>
    </xdr:sp>
    <xdr:clientData/>
  </xdr:twoCellAnchor>
  <xdr:twoCellAnchor>
    <xdr:from>
      <xdr:col>0</xdr:col>
      <xdr:colOff>76199</xdr:colOff>
      <xdr:row>951</xdr:row>
      <xdr:rowOff>38101</xdr:rowOff>
    </xdr:from>
    <xdr:to>
      <xdr:col>4</xdr:col>
      <xdr:colOff>95250</xdr:colOff>
      <xdr:row>966</xdr:row>
      <xdr:rowOff>57150</xdr:rowOff>
    </xdr:to>
    <xdr:sp macro="" textlink="">
      <xdr:nvSpPr>
        <xdr:cNvPr id="1303" name="Rectangle 1302">
          <a:extLst>
            <a:ext uri="{FF2B5EF4-FFF2-40B4-BE49-F238E27FC236}">
              <a16:creationId xmlns:a16="http://schemas.microsoft.com/office/drawing/2014/main" id="{092D966E-41BE-4E1C-92BB-781EB850179C}"/>
            </a:ext>
          </a:extLst>
        </xdr:cNvPr>
        <xdr:cNvSpPr/>
      </xdr:nvSpPr>
      <xdr:spPr>
        <a:xfrm>
          <a:off x="76199" y="185766076"/>
          <a:ext cx="2457451" cy="287654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Unknown as registration</a:t>
          </a:r>
          <a:r>
            <a:rPr lang="en-US" sz="1100" b="0" i="0" baseline="0">
              <a:solidFill>
                <a:schemeClr val="lt1"/>
              </a:solidFill>
              <a:effectLst/>
              <a:latin typeface="+mn-lt"/>
              <a:ea typeface="+mn-ea"/>
              <a:cs typeface="+mn-cs"/>
            </a:rPr>
            <a:t> is over but would include travel, lodging, and food expenses </a:t>
          </a:r>
          <a:r>
            <a:rPr lang="en-US"/>
            <a:t>​If you're not a healthcare professional or member of AAHPM, HPNA, or related organizations, you would register under the </a:t>
          </a:r>
          <a:r>
            <a:rPr lang="en-US" b="1"/>
            <a:t>Interprofessional Nonmember</a:t>
          </a:r>
          <a:r>
            <a:rPr lang="en-US"/>
            <a:t> category for the 2025 Annual Assembly of Hospice and Palliative Care. The registration fees for this category were:​</a:t>
          </a:r>
        </a:p>
        <a:p>
          <a:r>
            <a:rPr lang="en-US" b="1"/>
            <a:t>Early Bird Rate (before December 30, 2024):</a:t>
          </a:r>
          <a:r>
            <a:rPr lang="en-US"/>
            <a:t> $1,225​</a:t>
          </a:r>
        </a:p>
        <a:p>
          <a:r>
            <a:rPr lang="en-US" b="1"/>
            <a:t>Standard Rate (after December 30, 2024):</a:t>
          </a:r>
          <a:r>
            <a:rPr lang="en-US"/>
            <a:t> $1,520</a:t>
          </a:r>
        </a:p>
        <a:p>
          <a:endParaRPr lang="en-US" sz="1100" b="0" i="0">
            <a:solidFill>
              <a:schemeClr val="lt1"/>
            </a:solidFill>
            <a:effectLst/>
            <a:latin typeface="+mn-lt"/>
            <a:ea typeface="+mn-ea"/>
            <a:cs typeface="+mn-cs"/>
          </a:endParaRPr>
        </a:p>
      </xdr:txBody>
    </xdr:sp>
    <xdr:clientData/>
  </xdr:twoCellAnchor>
  <xdr:twoCellAnchor>
    <xdr:from>
      <xdr:col>4</xdr:col>
      <xdr:colOff>171451</xdr:colOff>
      <xdr:row>946</xdr:row>
      <xdr:rowOff>47625</xdr:rowOff>
    </xdr:from>
    <xdr:to>
      <xdr:col>8</xdr:col>
      <xdr:colOff>342901</xdr:colOff>
      <xdr:row>961</xdr:row>
      <xdr:rowOff>133350</xdr:rowOff>
    </xdr:to>
    <xdr:sp macro="" textlink="">
      <xdr:nvSpPr>
        <xdr:cNvPr id="1304" name="Rectangle 1303">
          <a:extLst>
            <a:ext uri="{FF2B5EF4-FFF2-40B4-BE49-F238E27FC236}">
              <a16:creationId xmlns:a16="http://schemas.microsoft.com/office/drawing/2014/main" id="{1D413FE0-D844-4F11-88EE-388BDC0F439D}"/>
            </a:ext>
          </a:extLst>
        </xdr:cNvPr>
        <xdr:cNvSpPr/>
      </xdr:nvSpPr>
      <xdr:spPr>
        <a:xfrm>
          <a:off x="2609851" y="100593525"/>
          <a:ext cx="2609850" cy="29432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Physicians</a:t>
          </a:r>
        </a:p>
        <a:p>
          <a:r>
            <a:rPr lang="en-US"/>
            <a:t>Advanced Practice Nurses</a:t>
          </a:r>
        </a:p>
        <a:p>
          <a:r>
            <a:rPr lang="en-US"/>
            <a:t>Pharmacists​</a:t>
          </a:r>
        </a:p>
        <a:p>
          <a:r>
            <a:rPr lang="en-US"/>
            <a:t>Physician Assistants​</a:t>
          </a:r>
        </a:p>
        <a:p>
          <a:r>
            <a:rPr lang="en-US"/>
            <a:t>Registered Nurses​</a:t>
          </a:r>
        </a:p>
        <a:p>
          <a:r>
            <a:rPr lang="en-US"/>
            <a:t>Researchers/Scientists</a:t>
          </a:r>
        </a:p>
        <a:p>
          <a:r>
            <a:rPr lang="en-US"/>
            <a:t>Psychologists</a:t>
          </a:r>
        </a:p>
        <a:p>
          <a:r>
            <a:rPr lang="en-US"/>
            <a:t>Social Workers</a:t>
          </a:r>
        </a:p>
        <a:p>
          <a:r>
            <a:rPr lang="en-US"/>
            <a:t>Administrators</a:t>
          </a:r>
        </a:p>
        <a:p>
          <a:r>
            <a:rPr lang="en-US"/>
            <a:t>Fellows and Residents​</a:t>
          </a:r>
        </a:p>
        <a:p>
          <a:r>
            <a:rPr lang="en-US"/>
            <a:t>Chaplains and Spiritual Care Providers</a:t>
          </a:r>
        </a:p>
        <a:p>
          <a:r>
            <a:rPr lang="en-US"/>
            <a:t>Students and Professionals in Training</a:t>
          </a:r>
        </a:p>
        <a:p>
          <a:endParaRPr lang="en-US" b="0"/>
        </a:p>
      </xdr:txBody>
    </xdr:sp>
    <xdr:clientData/>
  </xdr:twoCellAnchor>
  <xdr:twoCellAnchor>
    <xdr:from>
      <xdr:col>8</xdr:col>
      <xdr:colOff>457200</xdr:colOff>
      <xdr:row>956</xdr:row>
      <xdr:rowOff>57150</xdr:rowOff>
    </xdr:from>
    <xdr:to>
      <xdr:col>13</xdr:col>
      <xdr:colOff>476250</xdr:colOff>
      <xdr:row>967</xdr:row>
      <xdr:rowOff>57150</xdr:rowOff>
    </xdr:to>
    <xdr:sp macro="" textlink="">
      <xdr:nvSpPr>
        <xdr:cNvPr id="1305" name="Rectangle 1304">
          <a:extLst>
            <a:ext uri="{FF2B5EF4-FFF2-40B4-BE49-F238E27FC236}">
              <a16:creationId xmlns:a16="http://schemas.microsoft.com/office/drawing/2014/main" id="{5A389F04-0F53-4B81-B2DF-5A8DC2576C33}"/>
            </a:ext>
          </a:extLst>
        </xdr:cNvPr>
        <xdr:cNvSpPr/>
      </xdr:nvSpPr>
      <xdr:spPr>
        <a:xfrm>
          <a:off x="5334000" y="102508050"/>
          <a:ext cx="3067050" cy="2095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Aleca</a:t>
          </a:r>
          <a:r>
            <a:rPr lang="en-US"/>
            <a:t>: Provides home health care, hospice, outpatient therapy, and work injury services. The conference's emphasis on hospice and palliative care aligns closely with Aleca's services, making it beneficial for their team.​</a:t>
          </a:r>
        </a:p>
        <a:p>
          <a:endParaRPr lang="en-US"/>
        </a:p>
        <a:p>
          <a:r>
            <a:rPr lang="en-US" b="1"/>
            <a:t>Alante</a:t>
          </a:r>
          <a:r>
            <a:rPr lang="en-US"/>
            <a:t>: Specializes in chronic care management, palliative care, in-home visits, and work injury programs. Insights from the conference could enhance their palliative care services and patient care strategies.​</a:t>
          </a:r>
        </a:p>
      </xdr:txBody>
    </xdr:sp>
    <xdr:clientData/>
  </xdr:twoCellAnchor>
  <xdr:twoCellAnchor>
    <xdr:from>
      <xdr:col>9</xdr:col>
      <xdr:colOff>19050</xdr:colOff>
      <xdr:row>951</xdr:row>
      <xdr:rowOff>190499</xdr:rowOff>
    </xdr:from>
    <xdr:to>
      <xdr:col>12</xdr:col>
      <xdr:colOff>600075</xdr:colOff>
      <xdr:row>954</xdr:row>
      <xdr:rowOff>152400</xdr:rowOff>
    </xdr:to>
    <xdr:sp macro="" textlink="">
      <xdr:nvSpPr>
        <xdr:cNvPr id="1306" name="Rectangle 1305">
          <a:hlinkClick xmlns:r="http://schemas.openxmlformats.org/officeDocument/2006/relationships" r:id="rId43"/>
          <a:extLst>
            <a:ext uri="{FF2B5EF4-FFF2-40B4-BE49-F238E27FC236}">
              <a16:creationId xmlns:a16="http://schemas.microsoft.com/office/drawing/2014/main" id="{E0CFAFF2-23F3-4248-973C-847A43A5C3B0}"/>
            </a:ext>
          </a:extLst>
        </xdr:cNvPr>
        <xdr:cNvSpPr/>
      </xdr:nvSpPr>
      <xdr:spPr>
        <a:xfrm>
          <a:off x="5505450" y="101688899"/>
          <a:ext cx="2409825" cy="533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Annual Assembly | AAHPM</a:t>
          </a:r>
          <a:endParaRPr lang="en-US" sz="1100">
            <a:solidFill>
              <a:schemeClr val="bg1"/>
            </a:solidFill>
          </a:endParaRPr>
        </a:p>
      </xdr:txBody>
    </xdr:sp>
    <xdr:clientData/>
  </xdr:twoCellAnchor>
  <xdr:twoCellAnchor>
    <xdr:from>
      <xdr:col>10</xdr:col>
      <xdr:colOff>28575</xdr:colOff>
      <xdr:row>563</xdr:row>
      <xdr:rowOff>123825</xdr:rowOff>
    </xdr:from>
    <xdr:to>
      <xdr:col>13</xdr:col>
      <xdr:colOff>523875</xdr:colOff>
      <xdr:row>567</xdr:row>
      <xdr:rowOff>28574</xdr:rowOff>
    </xdr:to>
    <xdr:sp macro="" textlink="">
      <xdr:nvSpPr>
        <xdr:cNvPr id="1307" name="Rectangle 1306">
          <a:extLst>
            <a:ext uri="{FF2B5EF4-FFF2-40B4-BE49-F238E27FC236}">
              <a16:creationId xmlns:a16="http://schemas.microsoft.com/office/drawing/2014/main" id="{8B8743CB-8CB3-4A59-AB7C-D4D363706F56}"/>
            </a:ext>
          </a:extLst>
        </xdr:cNvPr>
        <xdr:cNvSpPr/>
      </xdr:nvSpPr>
      <xdr:spPr>
        <a:xfrm>
          <a:off x="6124575" y="110385225"/>
          <a:ext cx="2324100" cy="676274"/>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Pending Approval...</a:t>
          </a:r>
        </a:p>
      </xdr:txBody>
    </xdr:sp>
    <xdr:clientData/>
  </xdr:twoCellAnchor>
  <xdr:twoCellAnchor>
    <xdr:from>
      <xdr:col>0</xdr:col>
      <xdr:colOff>95250</xdr:colOff>
      <xdr:row>971</xdr:row>
      <xdr:rowOff>95250</xdr:rowOff>
    </xdr:from>
    <xdr:to>
      <xdr:col>0</xdr:col>
      <xdr:colOff>438150</xdr:colOff>
      <xdr:row>973</xdr:row>
      <xdr:rowOff>28575</xdr:rowOff>
    </xdr:to>
    <xdr:sp macro="" textlink="">
      <xdr:nvSpPr>
        <xdr:cNvPr id="1075" name="Star: 5 Points 1074">
          <a:extLst>
            <a:ext uri="{FF2B5EF4-FFF2-40B4-BE49-F238E27FC236}">
              <a16:creationId xmlns:a16="http://schemas.microsoft.com/office/drawing/2014/main" id="{43604D67-183D-410D-9DF0-50FF6B1BF4D0}"/>
            </a:ext>
          </a:extLst>
        </xdr:cNvPr>
        <xdr:cNvSpPr/>
      </xdr:nvSpPr>
      <xdr:spPr>
        <a:xfrm>
          <a:off x="95250" y="1808321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971</xdr:row>
      <xdr:rowOff>114300</xdr:rowOff>
    </xdr:from>
    <xdr:to>
      <xdr:col>1</xdr:col>
      <xdr:colOff>247650</xdr:colOff>
      <xdr:row>973</xdr:row>
      <xdr:rowOff>47625</xdr:rowOff>
    </xdr:to>
    <xdr:sp macro="" textlink="">
      <xdr:nvSpPr>
        <xdr:cNvPr id="1308" name="Star: 5 Points 1307">
          <a:extLst>
            <a:ext uri="{FF2B5EF4-FFF2-40B4-BE49-F238E27FC236}">
              <a16:creationId xmlns:a16="http://schemas.microsoft.com/office/drawing/2014/main" id="{45F64D10-2367-44F6-B688-65EFFC4BDE9E}"/>
            </a:ext>
          </a:extLst>
        </xdr:cNvPr>
        <xdr:cNvSpPr/>
      </xdr:nvSpPr>
      <xdr:spPr>
        <a:xfrm>
          <a:off x="514350" y="1808511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971</xdr:row>
      <xdr:rowOff>114300</xdr:rowOff>
    </xdr:from>
    <xdr:to>
      <xdr:col>2</xdr:col>
      <xdr:colOff>76200</xdr:colOff>
      <xdr:row>973</xdr:row>
      <xdr:rowOff>47625</xdr:rowOff>
    </xdr:to>
    <xdr:sp macro="" textlink="">
      <xdr:nvSpPr>
        <xdr:cNvPr id="1309" name="Star: 5 Points 1308">
          <a:extLst>
            <a:ext uri="{FF2B5EF4-FFF2-40B4-BE49-F238E27FC236}">
              <a16:creationId xmlns:a16="http://schemas.microsoft.com/office/drawing/2014/main" id="{5966F5D0-5C67-4028-97FC-335983DB5E78}"/>
            </a:ext>
          </a:extLst>
        </xdr:cNvPr>
        <xdr:cNvSpPr/>
      </xdr:nvSpPr>
      <xdr:spPr>
        <a:xfrm>
          <a:off x="952500" y="1808511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971</xdr:row>
      <xdr:rowOff>114300</xdr:rowOff>
    </xdr:from>
    <xdr:to>
      <xdr:col>2</xdr:col>
      <xdr:colOff>523875</xdr:colOff>
      <xdr:row>973</xdr:row>
      <xdr:rowOff>47625</xdr:rowOff>
    </xdr:to>
    <xdr:sp macro="" textlink="">
      <xdr:nvSpPr>
        <xdr:cNvPr id="1310" name="Star: 5 Points 1309">
          <a:extLst>
            <a:ext uri="{FF2B5EF4-FFF2-40B4-BE49-F238E27FC236}">
              <a16:creationId xmlns:a16="http://schemas.microsoft.com/office/drawing/2014/main" id="{FE13C8B5-DE89-4102-B06C-28E5D871FD88}"/>
            </a:ext>
          </a:extLst>
        </xdr:cNvPr>
        <xdr:cNvSpPr/>
      </xdr:nvSpPr>
      <xdr:spPr>
        <a:xfrm>
          <a:off x="1400175" y="1808511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971</xdr:row>
      <xdr:rowOff>123825</xdr:rowOff>
    </xdr:from>
    <xdr:to>
      <xdr:col>3</xdr:col>
      <xdr:colOff>342900</xdr:colOff>
      <xdr:row>973</xdr:row>
      <xdr:rowOff>57150</xdr:rowOff>
    </xdr:to>
    <xdr:sp macro="" textlink="">
      <xdr:nvSpPr>
        <xdr:cNvPr id="1311" name="Star: 5 Points 1310">
          <a:extLst>
            <a:ext uri="{FF2B5EF4-FFF2-40B4-BE49-F238E27FC236}">
              <a16:creationId xmlns:a16="http://schemas.microsoft.com/office/drawing/2014/main" id="{E85025BA-1A55-43F9-B9AB-CA3049A2FE52}"/>
            </a:ext>
          </a:extLst>
        </xdr:cNvPr>
        <xdr:cNvSpPr/>
      </xdr:nvSpPr>
      <xdr:spPr>
        <a:xfrm>
          <a:off x="1828800" y="1808607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975</xdr:row>
      <xdr:rowOff>57151</xdr:rowOff>
    </xdr:from>
    <xdr:to>
      <xdr:col>4</xdr:col>
      <xdr:colOff>57150</xdr:colOff>
      <xdr:row>979</xdr:row>
      <xdr:rowOff>9526</xdr:rowOff>
    </xdr:to>
    <xdr:sp macro="" textlink="">
      <xdr:nvSpPr>
        <xdr:cNvPr id="1312" name="Rectangle 1311">
          <a:extLst>
            <a:ext uri="{FF2B5EF4-FFF2-40B4-BE49-F238E27FC236}">
              <a16:creationId xmlns:a16="http://schemas.microsoft.com/office/drawing/2014/main" id="{9D407CBE-651B-4982-8A1A-C6580BBDD061}"/>
            </a:ext>
          </a:extLst>
        </xdr:cNvPr>
        <xdr:cNvSpPr/>
      </xdr:nvSpPr>
      <xdr:spPr>
        <a:xfrm>
          <a:off x="85725" y="1815655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981</xdr:row>
      <xdr:rowOff>76201</xdr:rowOff>
    </xdr:from>
    <xdr:to>
      <xdr:col>4</xdr:col>
      <xdr:colOff>57150</xdr:colOff>
      <xdr:row>985</xdr:row>
      <xdr:rowOff>38101</xdr:rowOff>
    </xdr:to>
    <xdr:sp macro="" textlink="">
      <xdr:nvSpPr>
        <xdr:cNvPr id="1313" name="Rectangle 1312">
          <a:extLst>
            <a:ext uri="{FF2B5EF4-FFF2-40B4-BE49-F238E27FC236}">
              <a16:creationId xmlns:a16="http://schemas.microsoft.com/office/drawing/2014/main" id="{46B6CF2E-55F1-45C5-A49A-C84D47142BDE}"/>
            </a:ext>
          </a:extLst>
        </xdr:cNvPr>
        <xdr:cNvSpPr/>
      </xdr:nvSpPr>
      <xdr:spPr>
        <a:xfrm>
          <a:off x="85725" y="1827466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987</xdr:row>
      <xdr:rowOff>123825</xdr:rowOff>
    </xdr:from>
    <xdr:to>
      <xdr:col>4</xdr:col>
      <xdr:colOff>76200</xdr:colOff>
      <xdr:row>996</xdr:row>
      <xdr:rowOff>9525</xdr:rowOff>
    </xdr:to>
    <xdr:sp macro="" textlink="">
      <xdr:nvSpPr>
        <xdr:cNvPr id="1314" name="Rectangle 1313">
          <a:extLst>
            <a:ext uri="{FF2B5EF4-FFF2-40B4-BE49-F238E27FC236}">
              <a16:creationId xmlns:a16="http://schemas.microsoft.com/office/drawing/2014/main" id="{51141152-5573-4684-AE14-45B203C77EB4}"/>
            </a:ext>
          </a:extLst>
        </xdr:cNvPr>
        <xdr:cNvSpPr/>
      </xdr:nvSpPr>
      <xdr:spPr>
        <a:xfrm>
          <a:off x="104775" y="18394680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975</xdr:row>
      <xdr:rowOff>38100</xdr:rowOff>
    </xdr:from>
    <xdr:to>
      <xdr:col>8</xdr:col>
      <xdr:colOff>333375</xdr:colOff>
      <xdr:row>977</xdr:row>
      <xdr:rowOff>161925</xdr:rowOff>
    </xdr:to>
    <xdr:sp macro="" textlink="">
      <xdr:nvSpPr>
        <xdr:cNvPr id="1315" name="Rectangle 1314">
          <a:extLst>
            <a:ext uri="{FF2B5EF4-FFF2-40B4-BE49-F238E27FC236}">
              <a16:creationId xmlns:a16="http://schemas.microsoft.com/office/drawing/2014/main" id="{49F62808-9010-4755-B9E4-540F2F09B543}"/>
            </a:ext>
          </a:extLst>
        </xdr:cNvPr>
        <xdr:cNvSpPr/>
      </xdr:nvSpPr>
      <xdr:spPr>
        <a:xfrm>
          <a:off x="3028950" y="181546500"/>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979</xdr:row>
      <xdr:rowOff>76201</xdr:rowOff>
    </xdr:from>
    <xdr:to>
      <xdr:col>8</xdr:col>
      <xdr:colOff>352425</xdr:colOff>
      <xdr:row>983</xdr:row>
      <xdr:rowOff>38101</xdr:rowOff>
    </xdr:to>
    <xdr:sp macro="" textlink="">
      <xdr:nvSpPr>
        <xdr:cNvPr id="1316" name="Rectangle 1315">
          <a:extLst>
            <a:ext uri="{FF2B5EF4-FFF2-40B4-BE49-F238E27FC236}">
              <a16:creationId xmlns:a16="http://schemas.microsoft.com/office/drawing/2014/main" id="{5EBFDE73-A631-45FE-B748-5A9203E14D2D}"/>
            </a:ext>
          </a:extLst>
        </xdr:cNvPr>
        <xdr:cNvSpPr/>
      </xdr:nvSpPr>
      <xdr:spPr>
        <a:xfrm>
          <a:off x="3028950" y="182356126"/>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985</xdr:row>
      <xdr:rowOff>104775</xdr:rowOff>
    </xdr:from>
    <xdr:to>
      <xdr:col>8</xdr:col>
      <xdr:colOff>352425</xdr:colOff>
      <xdr:row>987</xdr:row>
      <xdr:rowOff>171450</xdr:rowOff>
    </xdr:to>
    <xdr:sp macro="" textlink="">
      <xdr:nvSpPr>
        <xdr:cNvPr id="1317" name="Rectangle 1316">
          <a:extLst>
            <a:ext uri="{FF2B5EF4-FFF2-40B4-BE49-F238E27FC236}">
              <a16:creationId xmlns:a16="http://schemas.microsoft.com/office/drawing/2014/main" id="{AE3B1E03-499A-4FC1-857D-7E2BA6113779}"/>
            </a:ext>
          </a:extLst>
        </xdr:cNvPr>
        <xdr:cNvSpPr/>
      </xdr:nvSpPr>
      <xdr:spPr>
        <a:xfrm>
          <a:off x="3019426" y="183537225"/>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No one, more of an attending event</a:t>
          </a:r>
          <a:endParaRPr lang="en-US" sz="1100"/>
        </a:p>
      </xdr:txBody>
    </xdr:sp>
    <xdr:clientData/>
  </xdr:twoCellAnchor>
  <xdr:twoCellAnchor>
    <xdr:from>
      <xdr:col>5</xdr:col>
      <xdr:colOff>19050</xdr:colOff>
      <xdr:row>989</xdr:row>
      <xdr:rowOff>28575</xdr:rowOff>
    </xdr:from>
    <xdr:to>
      <xdr:col>6</xdr:col>
      <xdr:colOff>171449</xdr:colOff>
      <xdr:row>990</xdr:row>
      <xdr:rowOff>171450</xdr:rowOff>
    </xdr:to>
    <xdr:sp macro="" textlink="">
      <xdr:nvSpPr>
        <xdr:cNvPr id="1318" name="Rectangle 1317">
          <a:extLst>
            <a:ext uri="{FF2B5EF4-FFF2-40B4-BE49-F238E27FC236}">
              <a16:creationId xmlns:a16="http://schemas.microsoft.com/office/drawing/2014/main" id="{AEFAEA75-243B-4B25-96C3-ACF0A494DD23}"/>
            </a:ext>
          </a:extLst>
        </xdr:cNvPr>
        <xdr:cNvSpPr/>
      </xdr:nvSpPr>
      <xdr:spPr>
        <a:xfrm>
          <a:off x="3067050" y="184232550"/>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8</xdr:col>
      <xdr:colOff>485775</xdr:colOff>
      <xdr:row>971</xdr:row>
      <xdr:rowOff>180974</xdr:rowOff>
    </xdr:from>
    <xdr:to>
      <xdr:col>13</xdr:col>
      <xdr:colOff>552450</xdr:colOff>
      <xdr:row>996</xdr:row>
      <xdr:rowOff>190499</xdr:rowOff>
    </xdr:to>
    <xdr:sp macro="" textlink="">
      <xdr:nvSpPr>
        <xdr:cNvPr id="1319" name="Rectangle 1318">
          <a:extLst>
            <a:ext uri="{FF2B5EF4-FFF2-40B4-BE49-F238E27FC236}">
              <a16:creationId xmlns:a16="http://schemas.microsoft.com/office/drawing/2014/main" id="{ED18A069-92ED-4614-A690-E5996317BEB5}"/>
            </a:ext>
          </a:extLst>
        </xdr:cNvPr>
        <xdr:cNvSpPr/>
      </xdr:nvSpPr>
      <xdr:spPr>
        <a:xfrm>
          <a:off x="5362575" y="180917849"/>
          <a:ext cx="3114675" cy="48101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a:solidFill>
                <a:schemeClr val="lt1"/>
              </a:solidFill>
              <a:effectLst/>
              <a:latin typeface="+mn-lt"/>
              <a:ea typeface="+mn-ea"/>
              <a:cs typeface="+mn-cs"/>
            </a:rPr>
            <a:t>Purpose: </a:t>
          </a:r>
          <a:r>
            <a:rPr lang="en-US" b="0"/>
            <a:t>The gala aims to raise funds for Banner MD Anderson Cancer Center locations in Arizona. Proceeds will support advancements in cancer care, including diagnostic imaging, clinical trials, community outreach, education, and supportive programming for patients, caregivers, and survivors. </a:t>
          </a:r>
          <a:r>
            <a:rPr lang="en-US"/>
            <a:t>​</a:t>
          </a:r>
        </a:p>
        <a:p>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a:t>Attending the Banner Ball could offer several advantages:</a:t>
          </a:r>
        </a:p>
        <a:p>
          <a:r>
            <a:rPr lang="en-US" b="1"/>
            <a:t>Networking Opportunities:</a:t>
          </a:r>
          <a:r>
            <a:rPr lang="en-US"/>
            <a:t> Engage with healthcare leaders, potential partners, and community influencers.</a:t>
          </a:r>
        </a:p>
        <a:p>
          <a:r>
            <a:rPr lang="en-US" b="1"/>
            <a:t>Brand Visibility:</a:t>
          </a:r>
          <a:r>
            <a:rPr lang="en-US"/>
            <a:t> Demonstrate commitment to community health initiatives and cancer care advancements.</a:t>
          </a:r>
        </a:p>
        <a:p>
          <a:r>
            <a:rPr lang="en-US" b="1"/>
            <a:t>Philanthropic Engagement:</a:t>
          </a:r>
          <a:r>
            <a:rPr lang="en-US"/>
            <a:t> Support a cause aligned with organizational values and community impact goals.</a:t>
          </a:r>
        </a:p>
        <a:p>
          <a:r>
            <a:rPr lang="en-US" b="1"/>
            <a:t>Strategic Partnerships:</a:t>
          </a:r>
          <a:r>
            <a:rPr lang="en-US"/>
            <a:t> Explore collaborations with Banner Health and other attending organizations.​</a:t>
          </a:r>
        </a:p>
        <a:p>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a:t>Arizona Biltmore Resort &amp; Spa, 2400 E. Missouri Ave., Phoenix, AZ 85016</a:t>
          </a:r>
        </a:p>
        <a:p>
          <a:endParaRPr lang="en-US"/>
        </a:p>
        <a:p>
          <a:r>
            <a:rPr lang="en-US" sz="1100" b="1"/>
            <a:t>Additional Notes</a:t>
          </a:r>
          <a:r>
            <a:rPr lang="en-US" sz="1100"/>
            <a:t>: Melissa</a:t>
          </a:r>
          <a:r>
            <a:rPr lang="en-US" sz="1100" baseline="0"/>
            <a:t> would like to attend it next year. Good recruiting event for our oregon location</a:t>
          </a:r>
          <a:endParaRPr lang="en-US" sz="1100"/>
        </a:p>
      </xdr:txBody>
    </xdr:sp>
    <xdr:clientData/>
  </xdr:twoCellAnchor>
  <xdr:twoCellAnchor>
    <xdr:from>
      <xdr:col>0</xdr:col>
      <xdr:colOff>76199</xdr:colOff>
      <xdr:row>997</xdr:row>
      <xdr:rowOff>38101</xdr:rowOff>
    </xdr:from>
    <xdr:to>
      <xdr:col>4</xdr:col>
      <xdr:colOff>95250</xdr:colOff>
      <xdr:row>1012</xdr:row>
      <xdr:rowOff>57150</xdr:rowOff>
    </xdr:to>
    <xdr:sp macro="" textlink="">
      <xdr:nvSpPr>
        <xdr:cNvPr id="1320" name="Rectangle 1319">
          <a:extLst>
            <a:ext uri="{FF2B5EF4-FFF2-40B4-BE49-F238E27FC236}">
              <a16:creationId xmlns:a16="http://schemas.microsoft.com/office/drawing/2014/main" id="{3B7ACEE7-909F-40C2-A61B-A157E15E79FC}"/>
            </a:ext>
          </a:extLst>
        </xdr:cNvPr>
        <xdr:cNvSpPr/>
      </xdr:nvSpPr>
      <xdr:spPr>
        <a:xfrm>
          <a:off x="76199" y="185766076"/>
          <a:ext cx="2457451" cy="287654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Individual Tickets:</a:t>
          </a:r>
          <a:r>
            <a:rPr lang="en-US"/>
            <a:t> $500–$1,000 per person</a:t>
          </a:r>
        </a:p>
        <a:p>
          <a:r>
            <a:rPr lang="en-US" b="1"/>
            <a:t>Table Sponsorships:</a:t>
          </a:r>
          <a:r>
            <a:rPr lang="en-US"/>
            <a:t> $5,000–$25,000 depending on sponsorship level</a:t>
          </a:r>
        </a:p>
        <a:p>
          <a:endParaRPr lang="en-US" sz="1100" b="0" i="0">
            <a:solidFill>
              <a:schemeClr val="lt1"/>
            </a:solidFill>
            <a:effectLst/>
            <a:latin typeface="+mn-lt"/>
            <a:ea typeface="+mn-ea"/>
            <a:cs typeface="+mn-cs"/>
          </a:endParaRPr>
        </a:p>
      </xdr:txBody>
    </xdr:sp>
    <xdr:clientData/>
  </xdr:twoCellAnchor>
  <xdr:twoCellAnchor>
    <xdr:from>
      <xdr:col>4</xdr:col>
      <xdr:colOff>209551</xdr:colOff>
      <xdr:row>992</xdr:row>
      <xdr:rowOff>38100</xdr:rowOff>
    </xdr:from>
    <xdr:to>
      <xdr:col>8</xdr:col>
      <xdr:colOff>381001</xdr:colOff>
      <xdr:row>1007</xdr:row>
      <xdr:rowOff>123825</xdr:rowOff>
    </xdr:to>
    <xdr:sp macro="" textlink="">
      <xdr:nvSpPr>
        <xdr:cNvPr id="1321" name="Rectangle 1320">
          <a:extLst>
            <a:ext uri="{FF2B5EF4-FFF2-40B4-BE49-F238E27FC236}">
              <a16:creationId xmlns:a16="http://schemas.microsoft.com/office/drawing/2014/main" id="{7734D604-D0AD-4B25-80AB-FF837EEEE247}"/>
            </a:ext>
          </a:extLst>
        </xdr:cNvPr>
        <xdr:cNvSpPr/>
      </xdr:nvSpPr>
      <xdr:spPr>
        <a:xfrm>
          <a:off x="2647951" y="193767075"/>
          <a:ext cx="2609850" cy="29432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Healthcare professionals and executives</a:t>
          </a:r>
        </a:p>
        <a:p>
          <a:endParaRPr lang="en-US"/>
        </a:p>
        <a:p>
          <a:r>
            <a:rPr lang="en-US"/>
            <a:t>Philanthropists and community leaders</a:t>
          </a:r>
        </a:p>
        <a:p>
          <a:endParaRPr lang="en-US"/>
        </a:p>
        <a:p>
          <a:r>
            <a:rPr lang="en-US"/>
            <a:t>Business and civic leaders</a:t>
          </a:r>
        </a:p>
        <a:p>
          <a:endParaRPr lang="en-US"/>
        </a:p>
        <a:p>
          <a:r>
            <a:rPr lang="en-US"/>
            <a:t>Individuals and organizations interested in supporting cancer care and research​</a:t>
          </a:r>
        </a:p>
        <a:p>
          <a:endParaRPr lang="en-US" b="0"/>
        </a:p>
      </xdr:txBody>
    </xdr:sp>
    <xdr:clientData/>
  </xdr:twoCellAnchor>
  <xdr:twoCellAnchor>
    <xdr:from>
      <xdr:col>8</xdr:col>
      <xdr:colOff>457200</xdr:colOff>
      <xdr:row>1002</xdr:row>
      <xdr:rowOff>57150</xdr:rowOff>
    </xdr:from>
    <xdr:to>
      <xdr:col>13</xdr:col>
      <xdr:colOff>476250</xdr:colOff>
      <xdr:row>1013</xdr:row>
      <xdr:rowOff>57150</xdr:rowOff>
    </xdr:to>
    <xdr:sp macro="" textlink="">
      <xdr:nvSpPr>
        <xdr:cNvPr id="1322" name="Rectangle 1321">
          <a:extLst>
            <a:ext uri="{FF2B5EF4-FFF2-40B4-BE49-F238E27FC236}">
              <a16:creationId xmlns:a16="http://schemas.microsoft.com/office/drawing/2014/main" id="{8B14B070-DDD8-4DFC-8E09-A78783DA73B9}"/>
            </a:ext>
          </a:extLst>
        </xdr:cNvPr>
        <xdr:cNvSpPr/>
      </xdr:nvSpPr>
      <xdr:spPr>
        <a:xfrm>
          <a:off x="5334000" y="186737625"/>
          <a:ext cx="3067050" cy="2095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Alante:</a:t>
          </a:r>
          <a:r>
            <a:rPr lang="en-US"/>
            <a:t> Given its focus on chronic care and case coordination, visibility with Banner’s oncology team could create referral or collaboration opportunities.</a:t>
          </a:r>
        </a:p>
        <a:p>
          <a:endParaRPr lang="en-US"/>
        </a:p>
        <a:p>
          <a:r>
            <a:rPr lang="en-US" b="1"/>
            <a:t>Aleca:</a:t>
          </a:r>
          <a:r>
            <a:rPr lang="en-US"/>
            <a:t> As a provider of home health, hospice, and palliative care, this event is directly aligned with their patient population and service model.</a:t>
          </a:r>
        </a:p>
        <a:p>
          <a:endParaRPr lang="en-US"/>
        </a:p>
        <a:p>
          <a:r>
            <a:rPr lang="en-US"/>
            <a:t>Sante</a:t>
          </a:r>
        </a:p>
      </xdr:txBody>
    </xdr:sp>
    <xdr:clientData/>
  </xdr:twoCellAnchor>
  <xdr:twoCellAnchor>
    <xdr:from>
      <xdr:col>9</xdr:col>
      <xdr:colOff>19050</xdr:colOff>
      <xdr:row>997</xdr:row>
      <xdr:rowOff>190499</xdr:rowOff>
    </xdr:from>
    <xdr:to>
      <xdr:col>12</xdr:col>
      <xdr:colOff>600075</xdr:colOff>
      <xdr:row>1000</xdr:row>
      <xdr:rowOff>152400</xdr:rowOff>
    </xdr:to>
    <xdr:sp macro="" textlink="">
      <xdr:nvSpPr>
        <xdr:cNvPr id="1323" name="Rectangle 1322">
          <a:hlinkClick xmlns:r="http://schemas.openxmlformats.org/officeDocument/2006/relationships" r:id="rId44"/>
          <a:extLst>
            <a:ext uri="{FF2B5EF4-FFF2-40B4-BE49-F238E27FC236}">
              <a16:creationId xmlns:a16="http://schemas.microsoft.com/office/drawing/2014/main" id="{239C642C-8F83-4EC3-A847-3D3EF7A396C9}"/>
            </a:ext>
          </a:extLst>
        </xdr:cNvPr>
        <xdr:cNvSpPr/>
      </xdr:nvSpPr>
      <xdr:spPr>
        <a:xfrm>
          <a:off x="5505450" y="185918474"/>
          <a:ext cx="2409825" cy="533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Introducing The Banner Ball: A Celebration of Caring &amp; Cures</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4</xdr:row>
      <xdr:rowOff>95250</xdr:rowOff>
    </xdr:from>
    <xdr:to>
      <xdr:col>0</xdr:col>
      <xdr:colOff>438150</xdr:colOff>
      <xdr:row>6</xdr:row>
      <xdr:rowOff>28575</xdr:rowOff>
    </xdr:to>
    <xdr:sp macro="" textlink="">
      <xdr:nvSpPr>
        <xdr:cNvPr id="2" name="Star: 5 Points 1">
          <a:extLst>
            <a:ext uri="{FF2B5EF4-FFF2-40B4-BE49-F238E27FC236}">
              <a16:creationId xmlns:a16="http://schemas.microsoft.com/office/drawing/2014/main" id="{55413ED6-10D8-2B94-0D5B-F45439CFC0C5}"/>
            </a:ext>
          </a:extLst>
        </xdr:cNvPr>
        <xdr:cNvSpPr/>
      </xdr:nvSpPr>
      <xdr:spPr>
        <a:xfrm>
          <a:off x="95250" y="819150"/>
          <a:ext cx="342900" cy="314325"/>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4</xdr:row>
      <xdr:rowOff>114300</xdr:rowOff>
    </xdr:from>
    <xdr:to>
      <xdr:col>1</xdr:col>
      <xdr:colOff>247650</xdr:colOff>
      <xdr:row>6</xdr:row>
      <xdr:rowOff>47625</xdr:rowOff>
    </xdr:to>
    <xdr:sp macro="" textlink="">
      <xdr:nvSpPr>
        <xdr:cNvPr id="3" name="Star: 5 Points 2">
          <a:extLst>
            <a:ext uri="{FF2B5EF4-FFF2-40B4-BE49-F238E27FC236}">
              <a16:creationId xmlns:a16="http://schemas.microsoft.com/office/drawing/2014/main" id="{162018DD-FA21-4583-AD98-B50E8BAA3009}"/>
            </a:ext>
          </a:extLst>
        </xdr:cNvPr>
        <xdr:cNvSpPr/>
      </xdr:nvSpPr>
      <xdr:spPr>
        <a:xfrm>
          <a:off x="514350" y="838200"/>
          <a:ext cx="342900" cy="314325"/>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4</xdr:row>
      <xdr:rowOff>114300</xdr:rowOff>
    </xdr:from>
    <xdr:to>
      <xdr:col>2</xdr:col>
      <xdr:colOff>76200</xdr:colOff>
      <xdr:row>6</xdr:row>
      <xdr:rowOff>47625</xdr:rowOff>
    </xdr:to>
    <xdr:sp macro="" textlink="">
      <xdr:nvSpPr>
        <xdr:cNvPr id="4" name="Star: 5 Points 3">
          <a:extLst>
            <a:ext uri="{FF2B5EF4-FFF2-40B4-BE49-F238E27FC236}">
              <a16:creationId xmlns:a16="http://schemas.microsoft.com/office/drawing/2014/main" id="{804969AC-85E6-4009-AE7B-24EE228BC69B}"/>
            </a:ext>
          </a:extLst>
        </xdr:cNvPr>
        <xdr:cNvSpPr/>
      </xdr:nvSpPr>
      <xdr:spPr>
        <a:xfrm>
          <a:off x="952500" y="838200"/>
          <a:ext cx="342900" cy="314325"/>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4</xdr:row>
      <xdr:rowOff>114300</xdr:rowOff>
    </xdr:from>
    <xdr:to>
      <xdr:col>2</xdr:col>
      <xdr:colOff>523875</xdr:colOff>
      <xdr:row>6</xdr:row>
      <xdr:rowOff>47625</xdr:rowOff>
    </xdr:to>
    <xdr:sp macro="" textlink="">
      <xdr:nvSpPr>
        <xdr:cNvPr id="5" name="Star: 5 Points 4">
          <a:extLst>
            <a:ext uri="{FF2B5EF4-FFF2-40B4-BE49-F238E27FC236}">
              <a16:creationId xmlns:a16="http://schemas.microsoft.com/office/drawing/2014/main" id="{E9740381-BE3A-4177-A268-1515E7267E01}"/>
            </a:ext>
          </a:extLst>
        </xdr:cNvPr>
        <xdr:cNvSpPr/>
      </xdr:nvSpPr>
      <xdr:spPr>
        <a:xfrm>
          <a:off x="1400175" y="838200"/>
          <a:ext cx="342900" cy="314325"/>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4</xdr:row>
      <xdr:rowOff>123825</xdr:rowOff>
    </xdr:from>
    <xdr:to>
      <xdr:col>3</xdr:col>
      <xdr:colOff>342900</xdr:colOff>
      <xdr:row>6</xdr:row>
      <xdr:rowOff>57150</xdr:rowOff>
    </xdr:to>
    <xdr:sp macro="" textlink="">
      <xdr:nvSpPr>
        <xdr:cNvPr id="6" name="Star: 5 Points 5">
          <a:extLst>
            <a:ext uri="{FF2B5EF4-FFF2-40B4-BE49-F238E27FC236}">
              <a16:creationId xmlns:a16="http://schemas.microsoft.com/office/drawing/2014/main" id="{F2D73472-BD61-4C3A-8C9F-FCD5DC07BB1C}"/>
            </a:ext>
          </a:extLst>
        </xdr:cNvPr>
        <xdr:cNvSpPr/>
      </xdr:nvSpPr>
      <xdr:spPr>
        <a:xfrm>
          <a:off x="1828800" y="847725"/>
          <a:ext cx="342900" cy="314325"/>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8</xdr:row>
      <xdr:rowOff>57151</xdr:rowOff>
    </xdr:from>
    <xdr:to>
      <xdr:col>4</xdr:col>
      <xdr:colOff>9525</xdr:colOff>
      <xdr:row>12</xdr:row>
      <xdr:rowOff>9526</xdr:rowOff>
    </xdr:to>
    <xdr:sp macro="" textlink="">
      <xdr:nvSpPr>
        <xdr:cNvPr id="7" name="Rectangle 6">
          <a:extLst>
            <a:ext uri="{FF2B5EF4-FFF2-40B4-BE49-F238E27FC236}">
              <a16:creationId xmlns:a16="http://schemas.microsoft.com/office/drawing/2014/main" id="{95CB4C63-30B0-5D0F-545C-191322F4C969}"/>
            </a:ext>
          </a:extLst>
        </xdr:cNvPr>
        <xdr:cNvSpPr/>
      </xdr:nvSpPr>
      <xdr:spPr>
        <a:xfrm>
          <a:off x="38100" y="15621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Gather names and contacts for graduating nurses for recruiting purposes. </a:t>
          </a:r>
        </a:p>
      </xdr:txBody>
    </xdr:sp>
    <xdr:clientData/>
  </xdr:twoCellAnchor>
  <xdr:twoCellAnchor>
    <xdr:from>
      <xdr:col>0</xdr:col>
      <xdr:colOff>0</xdr:colOff>
      <xdr:row>14</xdr:row>
      <xdr:rowOff>76201</xdr:rowOff>
    </xdr:from>
    <xdr:to>
      <xdr:col>3</xdr:col>
      <xdr:colOff>581025</xdr:colOff>
      <xdr:row>18</xdr:row>
      <xdr:rowOff>38101</xdr:rowOff>
    </xdr:to>
    <xdr:sp macro="" textlink="">
      <xdr:nvSpPr>
        <xdr:cNvPr id="8" name="Rectangle 7">
          <a:extLst>
            <a:ext uri="{FF2B5EF4-FFF2-40B4-BE49-F238E27FC236}">
              <a16:creationId xmlns:a16="http://schemas.microsoft.com/office/drawing/2014/main" id="{D19352CF-084E-48BF-A4F0-72F2DCDD5EA7}"/>
            </a:ext>
          </a:extLst>
        </xdr:cNvPr>
        <xdr:cNvSpPr/>
      </xdr:nvSpPr>
      <xdr:spPr>
        <a:xfrm>
          <a:off x="0" y="2743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Were able to speak</a:t>
          </a:r>
          <a:r>
            <a:rPr lang="en-US" sz="1100" baseline="0"/>
            <a:t> w. 40 graduating nurses and gain their contact information. </a:t>
          </a:r>
          <a:endParaRPr lang="en-US" sz="1100"/>
        </a:p>
      </xdr:txBody>
    </xdr:sp>
    <xdr:clientData/>
  </xdr:twoCellAnchor>
  <xdr:twoCellAnchor>
    <xdr:from>
      <xdr:col>0</xdr:col>
      <xdr:colOff>9525</xdr:colOff>
      <xdr:row>20</xdr:row>
      <xdr:rowOff>133350</xdr:rowOff>
    </xdr:from>
    <xdr:to>
      <xdr:col>3</xdr:col>
      <xdr:colOff>590550</xdr:colOff>
      <xdr:row>45</xdr:row>
      <xdr:rowOff>95250</xdr:rowOff>
    </xdr:to>
    <xdr:sp macro="" textlink="">
      <xdr:nvSpPr>
        <xdr:cNvPr id="9" name="Rectangle 8">
          <a:extLst>
            <a:ext uri="{FF2B5EF4-FFF2-40B4-BE49-F238E27FC236}">
              <a16:creationId xmlns:a16="http://schemas.microsoft.com/office/drawing/2014/main" id="{03AE6512-7E41-4F70-84FF-0F5E9A8BA9D6}"/>
            </a:ext>
          </a:extLst>
        </xdr:cNvPr>
        <xdr:cNvSpPr/>
      </xdr:nvSpPr>
      <xdr:spPr>
        <a:xfrm>
          <a:off x="9525" y="3952875"/>
          <a:ext cx="2409825" cy="4724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Very low percentage of students actually scanning the QR Code to sign up for the drawing. The first few who stopped scanned it but did not complete their name and contact information, saying "I'll do it later." Only 4 people from the event completed their information after scanning the QR code. Lucky I had the paper drawing forms as 36 students filled those out. Instead of a gift basket we did a $100 Amazon Gift Card and it did not draw all the students to stop by and fill out the drawing. We had to lure them over there and give them a nudge to sign up. The last few times we attended this event we did gift baskets and the draw was huge, everyone stopped and signed up without us having to lure them over. We also received comments from students that they were hoping we had a gift basket. The head of the event said that was one of the most popular things at previous career fairs and the students loved the baskets. We will go back to gift baskets for this event and using paper drawing cards.</a:t>
          </a:r>
          <a:endParaRPr lang="en-US" sz="1100"/>
        </a:p>
      </xdr:txBody>
    </xdr:sp>
    <xdr:clientData/>
  </xdr:twoCellAnchor>
  <xdr:twoCellAnchor>
    <xdr:from>
      <xdr:col>4</xdr:col>
      <xdr:colOff>590550</xdr:colOff>
      <xdr:row>8</xdr:row>
      <xdr:rowOff>38100</xdr:rowOff>
    </xdr:from>
    <xdr:to>
      <xdr:col>8</xdr:col>
      <xdr:colOff>561975</xdr:colOff>
      <xdr:row>10</xdr:row>
      <xdr:rowOff>161925</xdr:rowOff>
    </xdr:to>
    <xdr:sp macro="" textlink="">
      <xdr:nvSpPr>
        <xdr:cNvPr id="10" name="Rectangle 9">
          <a:extLst>
            <a:ext uri="{FF2B5EF4-FFF2-40B4-BE49-F238E27FC236}">
              <a16:creationId xmlns:a16="http://schemas.microsoft.com/office/drawing/2014/main" id="{DDFC330F-BE91-45D5-BCFC-C4E1CA580684}"/>
            </a:ext>
          </a:extLst>
        </xdr:cNvPr>
        <xdr:cNvSpPr/>
      </xdr:nvSpPr>
      <xdr:spPr>
        <a:xfrm>
          <a:off x="3028950" y="15430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Very popular event for graduating nurses</a:t>
          </a:r>
        </a:p>
      </xdr:txBody>
    </xdr:sp>
    <xdr:clientData/>
  </xdr:twoCellAnchor>
  <xdr:twoCellAnchor>
    <xdr:from>
      <xdr:col>4</xdr:col>
      <xdr:colOff>590550</xdr:colOff>
      <xdr:row>14</xdr:row>
      <xdr:rowOff>76201</xdr:rowOff>
    </xdr:from>
    <xdr:to>
      <xdr:col>8</xdr:col>
      <xdr:colOff>561975</xdr:colOff>
      <xdr:row>18</xdr:row>
      <xdr:rowOff>38101</xdr:rowOff>
    </xdr:to>
    <xdr:sp macro="" textlink="">
      <xdr:nvSpPr>
        <xdr:cNvPr id="11" name="Rectangle 10">
          <a:extLst>
            <a:ext uri="{FF2B5EF4-FFF2-40B4-BE49-F238E27FC236}">
              <a16:creationId xmlns:a16="http://schemas.microsoft.com/office/drawing/2014/main" id="{2C54FD8A-22E3-4521-BF22-8F5B54E20E7C}"/>
            </a:ext>
          </a:extLst>
        </xdr:cNvPr>
        <xdr:cNvSpPr/>
      </xdr:nvSpPr>
      <xdr:spPr>
        <a:xfrm>
          <a:off x="3028950" y="2743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One of the busiest local college events as it is part of graduating nurses' curriculum to attend the event.</a:t>
          </a:r>
          <a:endParaRPr lang="en-US" sz="1100"/>
        </a:p>
      </xdr:txBody>
    </xdr:sp>
    <xdr:clientData/>
  </xdr:twoCellAnchor>
  <xdr:twoCellAnchor>
    <xdr:from>
      <xdr:col>4</xdr:col>
      <xdr:colOff>590550</xdr:colOff>
      <xdr:row>20</xdr:row>
      <xdr:rowOff>104775</xdr:rowOff>
    </xdr:from>
    <xdr:to>
      <xdr:col>8</xdr:col>
      <xdr:colOff>561975</xdr:colOff>
      <xdr:row>22</xdr:row>
      <xdr:rowOff>57150</xdr:rowOff>
    </xdr:to>
    <xdr:sp macro="" textlink="">
      <xdr:nvSpPr>
        <xdr:cNvPr id="12" name="Rectangle 11">
          <a:extLst>
            <a:ext uri="{FF2B5EF4-FFF2-40B4-BE49-F238E27FC236}">
              <a16:creationId xmlns:a16="http://schemas.microsoft.com/office/drawing/2014/main" id="{488F8333-A1A7-4AAD-A549-B1B8526728EA}"/>
            </a:ext>
          </a:extLst>
        </xdr:cNvPr>
        <xdr:cNvSpPr/>
      </xdr:nvSpPr>
      <xdr:spPr>
        <a:xfrm>
          <a:off x="3028950" y="3924300"/>
          <a:ext cx="2409825"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Melissa McCoy</a:t>
          </a:r>
        </a:p>
      </xdr:txBody>
    </xdr:sp>
    <xdr:clientData/>
  </xdr:twoCellAnchor>
  <xdr:twoCellAnchor>
    <xdr:from>
      <xdr:col>0</xdr:col>
      <xdr:colOff>95250</xdr:colOff>
      <xdr:row>50</xdr:row>
      <xdr:rowOff>95250</xdr:rowOff>
    </xdr:from>
    <xdr:to>
      <xdr:col>0</xdr:col>
      <xdr:colOff>438150</xdr:colOff>
      <xdr:row>52</xdr:row>
      <xdr:rowOff>28575</xdr:rowOff>
    </xdr:to>
    <xdr:sp macro="" textlink="">
      <xdr:nvSpPr>
        <xdr:cNvPr id="13" name="Star: 5 Points 12">
          <a:extLst>
            <a:ext uri="{FF2B5EF4-FFF2-40B4-BE49-F238E27FC236}">
              <a16:creationId xmlns:a16="http://schemas.microsoft.com/office/drawing/2014/main" id="{E241B563-53F3-4D5D-82A6-2E2D07B25255}"/>
            </a:ext>
          </a:extLst>
        </xdr:cNvPr>
        <xdr:cNvSpPr/>
      </xdr:nvSpPr>
      <xdr:spPr>
        <a:xfrm>
          <a:off x="95250" y="828675"/>
          <a:ext cx="342900" cy="314325"/>
        </a:xfrm>
        <a:prstGeom prst="star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50</xdr:row>
      <xdr:rowOff>114300</xdr:rowOff>
    </xdr:from>
    <xdr:to>
      <xdr:col>1</xdr:col>
      <xdr:colOff>247650</xdr:colOff>
      <xdr:row>52</xdr:row>
      <xdr:rowOff>47625</xdr:rowOff>
    </xdr:to>
    <xdr:sp macro="" textlink="">
      <xdr:nvSpPr>
        <xdr:cNvPr id="14" name="Star: 5 Points 13">
          <a:extLst>
            <a:ext uri="{FF2B5EF4-FFF2-40B4-BE49-F238E27FC236}">
              <a16:creationId xmlns:a16="http://schemas.microsoft.com/office/drawing/2014/main" id="{9F5481FA-D69B-4250-A3EB-B490270F4D5F}"/>
            </a:ext>
          </a:extLst>
        </xdr:cNvPr>
        <xdr:cNvSpPr/>
      </xdr:nvSpPr>
      <xdr:spPr>
        <a:xfrm>
          <a:off x="514350" y="8477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50</xdr:row>
      <xdr:rowOff>114300</xdr:rowOff>
    </xdr:from>
    <xdr:to>
      <xdr:col>2</xdr:col>
      <xdr:colOff>76200</xdr:colOff>
      <xdr:row>52</xdr:row>
      <xdr:rowOff>47625</xdr:rowOff>
    </xdr:to>
    <xdr:sp macro="" textlink="">
      <xdr:nvSpPr>
        <xdr:cNvPr id="15" name="Star: 5 Points 14">
          <a:extLst>
            <a:ext uri="{FF2B5EF4-FFF2-40B4-BE49-F238E27FC236}">
              <a16:creationId xmlns:a16="http://schemas.microsoft.com/office/drawing/2014/main" id="{C3EEF347-030E-469A-93C7-BA3687F5185B}"/>
            </a:ext>
          </a:extLst>
        </xdr:cNvPr>
        <xdr:cNvSpPr/>
      </xdr:nvSpPr>
      <xdr:spPr>
        <a:xfrm>
          <a:off x="952500" y="8477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50</xdr:row>
      <xdr:rowOff>114300</xdr:rowOff>
    </xdr:from>
    <xdr:to>
      <xdr:col>2</xdr:col>
      <xdr:colOff>523875</xdr:colOff>
      <xdr:row>52</xdr:row>
      <xdr:rowOff>47625</xdr:rowOff>
    </xdr:to>
    <xdr:sp macro="" textlink="">
      <xdr:nvSpPr>
        <xdr:cNvPr id="16" name="Star: 5 Points 15">
          <a:extLst>
            <a:ext uri="{FF2B5EF4-FFF2-40B4-BE49-F238E27FC236}">
              <a16:creationId xmlns:a16="http://schemas.microsoft.com/office/drawing/2014/main" id="{D98D05D4-4A03-409F-97E0-EA43C957AAF8}"/>
            </a:ext>
          </a:extLst>
        </xdr:cNvPr>
        <xdr:cNvSpPr/>
      </xdr:nvSpPr>
      <xdr:spPr>
        <a:xfrm>
          <a:off x="1400175" y="8477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50</xdr:row>
      <xdr:rowOff>123825</xdr:rowOff>
    </xdr:from>
    <xdr:to>
      <xdr:col>3</xdr:col>
      <xdr:colOff>342900</xdr:colOff>
      <xdr:row>52</xdr:row>
      <xdr:rowOff>57150</xdr:rowOff>
    </xdr:to>
    <xdr:sp macro="" textlink="">
      <xdr:nvSpPr>
        <xdr:cNvPr id="17" name="Star: 5 Points 16">
          <a:extLst>
            <a:ext uri="{FF2B5EF4-FFF2-40B4-BE49-F238E27FC236}">
              <a16:creationId xmlns:a16="http://schemas.microsoft.com/office/drawing/2014/main" id="{0712C31F-848C-460A-B4B2-A48BDEA889E5}"/>
            </a:ext>
          </a:extLst>
        </xdr:cNvPr>
        <xdr:cNvSpPr/>
      </xdr:nvSpPr>
      <xdr:spPr>
        <a:xfrm>
          <a:off x="1828800" y="8572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54</xdr:row>
      <xdr:rowOff>57151</xdr:rowOff>
    </xdr:from>
    <xdr:to>
      <xdr:col>4</xdr:col>
      <xdr:colOff>9525</xdr:colOff>
      <xdr:row>58</xdr:row>
      <xdr:rowOff>9526</xdr:rowOff>
    </xdr:to>
    <xdr:sp macro="" textlink="">
      <xdr:nvSpPr>
        <xdr:cNvPr id="18" name="Rectangle 17">
          <a:extLst>
            <a:ext uri="{FF2B5EF4-FFF2-40B4-BE49-F238E27FC236}">
              <a16:creationId xmlns:a16="http://schemas.microsoft.com/office/drawing/2014/main" id="{DEEB5A89-B851-42AD-A88F-8177FE4F5EB1}"/>
            </a:ext>
          </a:extLst>
        </xdr:cNvPr>
        <xdr:cNvSpPr/>
      </xdr:nvSpPr>
      <xdr:spPr>
        <a:xfrm>
          <a:off x="38100" y="15621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Gather names and contacts from nursing students</a:t>
          </a:r>
        </a:p>
      </xdr:txBody>
    </xdr:sp>
    <xdr:clientData/>
  </xdr:twoCellAnchor>
  <xdr:twoCellAnchor>
    <xdr:from>
      <xdr:col>0</xdr:col>
      <xdr:colOff>0</xdr:colOff>
      <xdr:row>60</xdr:row>
      <xdr:rowOff>76201</xdr:rowOff>
    </xdr:from>
    <xdr:to>
      <xdr:col>3</xdr:col>
      <xdr:colOff>581025</xdr:colOff>
      <xdr:row>64</xdr:row>
      <xdr:rowOff>38101</xdr:rowOff>
    </xdr:to>
    <xdr:sp macro="" textlink="">
      <xdr:nvSpPr>
        <xdr:cNvPr id="19" name="Rectangle 18">
          <a:extLst>
            <a:ext uri="{FF2B5EF4-FFF2-40B4-BE49-F238E27FC236}">
              <a16:creationId xmlns:a16="http://schemas.microsoft.com/office/drawing/2014/main" id="{D813578B-BE26-4235-A5F1-4EB94C90C644}"/>
            </a:ext>
          </a:extLst>
        </xdr:cNvPr>
        <xdr:cNvSpPr/>
      </xdr:nvSpPr>
      <xdr:spPr>
        <a:xfrm>
          <a:off x="0" y="2743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We had a good table setup with</a:t>
          </a:r>
          <a:r>
            <a:rPr lang="en-US" sz="1100" baseline="0"/>
            <a:t> the materials we needed</a:t>
          </a:r>
        </a:p>
        <a:p>
          <a:pPr algn="l"/>
          <a:endParaRPr lang="en-US" sz="1100"/>
        </a:p>
      </xdr:txBody>
    </xdr:sp>
    <xdr:clientData/>
  </xdr:twoCellAnchor>
  <xdr:twoCellAnchor>
    <xdr:from>
      <xdr:col>0</xdr:col>
      <xdr:colOff>9525</xdr:colOff>
      <xdr:row>66</xdr:row>
      <xdr:rowOff>133350</xdr:rowOff>
    </xdr:from>
    <xdr:to>
      <xdr:col>3</xdr:col>
      <xdr:colOff>590550</xdr:colOff>
      <xdr:row>75</xdr:row>
      <xdr:rowOff>19050</xdr:rowOff>
    </xdr:to>
    <xdr:sp macro="" textlink="">
      <xdr:nvSpPr>
        <xdr:cNvPr id="20" name="Rectangle 19">
          <a:extLst>
            <a:ext uri="{FF2B5EF4-FFF2-40B4-BE49-F238E27FC236}">
              <a16:creationId xmlns:a16="http://schemas.microsoft.com/office/drawing/2014/main" id="{5651BB94-6CEA-4DB1-9478-5BDE575AA48B}"/>
            </a:ext>
          </a:extLst>
        </xdr:cNvPr>
        <xdr:cNvSpPr/>
      </xdr:nvSpPr>
      <xdr:spPr>
        <a:xfrm>
          <a:off x="9525" y="1292542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The career fairs aren't very well attended at GCU. They are always outside but this one was in the middle of the field with no shade. It was also very windy the entire time and it started raining near the end, so the vendors started leaving. We only gained 9 student names. </a:t>
          </a:r>
          <a:endParaRPr lang="en-US" sz="1100"/>
        </a:p>
      </xdr:txBody>
    </xdr:sp>
    <xdr:clientData/>
  </xdr:twoCellAnchor>
  <xdr:twoCellAnchor>
    <xdr:from>
      <xdr:col>4</xdr:col>
      <xdr:colOff>590550</xdr:colOff>
      <xdr:row>54</xdr:row>
      <xdr:rowOff>38100</xdr:rowOff>
    </xdr:from>
    <xdr:to>
      <xdr:col>8</xdr:col>
      <xdr:colOff>561975</xdr:colOff>
      <xdr:row>56</xdr:row>
      <xdr:rowOff>161925</xdr:rowOff>
    </xdr:to>
    <xdr:sp macro="" textlink="">
      <xdr:nvSpPr>
        <xdr:cNvPr id="21" name="Rectangle 20">
          <a:extLst>
            <a:ext uri="{FF2B5EF4-FFF2-40B4-BE49-F238E27FC236}">
              <a16:creationId xmlns:a16="http://schemas.microsoft.com/office/drawing/2014/main" id="{52170626-2A2B-4E70-97E5-D49942C042D6}"/>
            </a:ext>
          </a:extLst>
        </xdr:cNvPr>
        <xdr:cNvSpPr/>
      </xdr:nvSpPr>
      <xdr:spPr>
        <a:xfrm>
          <a:off x="3028950" y="15430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Low attendance, not a good ROI on time and money spent on this event.</a:t>
          </a:r>
          <a:endParaRPr lang="en-US" sz="1100"/>
        </a:p>
      </xdr:txBody>
    </xdr:sp>
    <xdr:clientData/>
  </xdr:twoCellAnchor>
  <xdr:twoCellAnchor>
    <xdr:from>
      <xdr:col>4</xdr:col>
      <xdr:colOff>590550</xdr:colOff>
      <xdr:row>60</xdr:row>
      <xdr:rowOff>76201</xdr:rowOff>
    </xdr:from>
    <xdr:to>
      <xdr:col>8</xdr:col>
      <xdr:colOff>561975</xdr:colOff>
      <xdr:row>64</xdr:row>
      <xdr:rowOff>38101</xdr:rowOff>
    </xdr:to>
    <xdr:sp macro="" textlink="">
      <xdr:nvSpPr>
        <xdr:cNvPr id="22" name="Rectangle 21">
          <a:extLst>
            <a:ext uri="{FF2B5EF4-FFF2-40B4-BE49-F238E27FC236}">
              <a16:creationId xmlns:a16="http://schemas.microsoft.com/office/drawing/2014/main" id="{F0792CD5-7FD5-4341-BFFE-18A5BA0C16F5}"/>
            </a:ext>
          </a:extLst>
        </xdr:cNvPr>
        <xdr:cNvSpPr/>
      </xdr:nvSpPr>
      <xdr:spPr>
        <a:xfrm>
          <a:off x="3028950" y="2743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If this was indoors, they would likely have better turnout.</a:t>
          </a:r>
          <a:endParaRPr lang="en-US" sz="1100"/>
        </a:p>
      </xdr:txBody>
    </xdr:sp>
    <xdr:clientData/>
  </xdr:twoCellAnchor>
  <xdr:twoCellAnchor>
    <xdr:from>
      <xdr:col>4</xdr:col>
      <xdr:colOff>590550</xdr:colOff>
      <xdr:row>66</xdr:row>
      <xdr:rowOff>104775</xdr:rowOff>
    </xdr:from>
    <xdr:to>
      <xdr:col>8</xdr:col>
      <xdr:colOff>561975</xdr:colOff>
      <xdr:row>68</xdr:row>
      <xdr:rowOff>57150</xdr:rowOff>
    </xdr:to>
    <xdr:sp macro="" textlink="">
      <xdr:nvSpPr>
        <xdr:cNvPr id="23" name="Rectangle 22">
          <a:extLst>
            <a:ext uri="{FF2B5EF4-FFF2-40B4-BE49-F238E27FC236}">
              <a16:creationId xmlns:a16="http://schemas.microsoft.com/office/drawing/2014/main" id="{A870FB7C-78C0-4A04-999D-DD9D575F1E6B}"/>
            </a:ext>
          </a:extLst>
        </xdr:cNvPr>
        <xdr:cNvSpPr/>
      </xdr:nvSpPr>
      <xdr:spPr>
        <a:xfrm>
          <a:off x="3028950" y="3924300"/>
          <a:ext cx="2409825"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Melissa McCoy</a:t>
          </a:r>
        </a:p>
      </xdr:txBody>
    </xdr:sp>
    <xdr:clientData/>
  </xdr:twoCellAnchor>
  <xdr:twoCellAnchor>
    <xdr:from>
      <xdr:col>4</xdr:col>
      <xdr:colOff>590551</xdr:colOff>
      <xdr:row>24</xdr:row>
      <xdr:rowOff>85725</xdr:rowOff>
    </xdr:from>
    <xdr:to>
      <xdr:col>5</xdr:col>
      <xdr:colOff>361951</xdr:colOff>
      <xdr:row>26</xdr:row>
      <xdr:rowOff>38100</xdr:rowOff>
    </xdr:to>
    <xdr:sp macro="" textlink="">
      <xdr:nvSpPr>
        <xdr:cNvPr id="24" name="Rectangle 23">
          <a:extLst>
            <a:ext uri="{FF2B5EF4-FFF2-40B4-BE49-F238E27FC236}">
              <a16:creationId xmlns:a16="http://schemas.microsoft.com/office/drawing/2014/main" id="{1B659C3E-7D1C-4BEA-A818-52682EF789F5}"/>
            </a:ext>
          </a:extLst>
        </xdr:cNvPr>
        <xdr:cNvSpPr/>
      </xdr:nvSpPr>
      <xdr:spPr>
        <a:xfrm>
          <a:off x="3028951" y="4667250"/>
          <a:ext cx="381000"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40</a:t>
          </a:r>
        </a:p>
      </xdr:txBody>
    </xdr:sp>
    <xdr:clientData/>
  </xdr:twoCellAnchor>
  <xdr:twoCellAnchor>
    <xdr:from>
      <xdr:col>4</xdr:col>
      <xdr:colOff>581026</xdr:colOff>
      <xdr:row>70</xdr:row>
      <xdr:rowOff>104775</xdr:rowOff>
    </xdr:from>
    <xdr:to>
      <xdr:col>5</xdr:col>
      <xdr:colOff>276226</xdr:colOff>
      <xdr:row>72</xdr:row>
      <xdr:rowOff>57150</xdr:rowOff>
    </xdr:to>
    <xdr:sp macro="" textlink="">
      <xdr:nvSpPr>
        <xdr:cNvPr id="25" name="Rectangle 24">
          <a:extLst>
            <a:ext uri="{FF2B5EF4-FFF2-40B4-BE49-F238E27FC236}">
              <a16:creationId xmlns:a16="http://schemas.microsoft.com/office/drawing/2014/main" id="{12985388-5A87-48C4-8A99-BF0B2B247F88}"/>
            </a:ext>
          </a:extLst>
        </xdr:cNvPr>
        <xdr:cNvSpPr/>
      </xdr:nvSpPr>
      <xdr:spPr>
        <a:xfrm>
          <a:off x="3019426" y="13658850"/>
          <a:ext cx="304800"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9</a:t>
          </a:r>
        </a:p>
        <a:p>
          <a:pPr algn="l"/>
          <a:endParaRPr lang="en-US" sz="1100"/>
        </a:p>
      </xdr:txBody>
    </xdr:sp>
    <xdr:clientData/>
  </xdr:twoCellAnchor>
  <xdr:twoCellAnchor>
    <xdr:from>
      <xdr:col>0</xdr:col>
      <xdr:colOff>95250</xdr:colOff>
      <xdr:row>80</xdr:row>
      <xdr:rowOff>95250</xdr:rowOff>
    </xdr:from>
    <xdr:to>
      <xdr:col>0</xdr:col>
      <xdr:colOff>438150</xdr:colOff>
      <xdr:row>82</xdr:row>
      <xdr:rowOff>28575</xdr:rowOff>
    </xdr:to>
    <xdr:sp macro="" textlink="">
      <xdr:nvSpPr>
        <xdr:cNvPr id="26" name="Star: 5 Points 25">
          <a:extLst>
            <a:ext uri="{FF2B5EF4-FFF2-40B4-BE49-F238E27FC236}">
              <a16:creationId xmlns:a16="http://schemas.microsoft.com/office/drawing/2014/main" id="{C4B03C1C-DB72-4FBA-814A-C3A9D3DB23BB}"/>
            </a:ext>
          </a:extLst>
        </xdr:cNvPr>
        <xdr:cNvSpPr/>
      </xdr:nvSpPr>
      <xdr:spPr>
        <a:xfrm>
          <a:off x="95250" y="98012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80</xdr:row>
      <xdr:rowOff>114300</xdr:rowOff>
    </xdr:from>
    <xdr:to>
      <xdr:col>1</xdr:col>
      <xdr:colOff>247650</xdr:colOff>
      <xdr:row>82</xdr:row>
      <xdr:rowOff>47625</xdr:rowOff>
    </xdr:to>
    <xdr:sp macro="" textlink="">
      <xdr:nvSpPr>
        <xdr:cNvPr id="27" name="Star: 5 Points 26">
          <a:extLst>
            <a:ext uri="{FF2B5EF4-FFF2-40B4-BE49-F238E27FC236}">
              <a16:creationId xmlns:a16="http://schemas.microsoft.com/office/drawing/2014/main" id="{C0268E67-39D8-46FD-99B2-787C5E395C65}"/>
            </a:ext>
          </a:extLst>
        </xdr:cNvPr>
        <xdr:cNvSpPr/>
      </xdr:nvSpPr>
      <xdr:spPr>
        <a:xfrm>
          <a:off x="514350" y="98202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80</xdr:row>
      <xdr:rowOff>114300</xdr:rowOff>
    </xdr:from>
    <xdr:to>
      <xdr:col>2</xdr:col>
      <xdr:colOff>76200</xdr:colOff>
      <xdr:row>82</xdr:row>
      <xdr:rowOff>47625</xdr:rowOff>
    </xdr:to>
    <xdr:sp macro="" textlink="">
      <xdr:nvSpPr>
        <xdr:cNvPr id="28" name="Star: 5 Points 27">
          <a:extLst>
            <a:ext uri="{FF2B5EF4-FFF2-40B4-BE49-F238E27FC236}">
              <a16:creationId xmlns:a16="http://schemas.microsoft.com/office/drawing/2014/main" id="{CF7D40E1-390B-4C95-9AA1-2A5B6C450BA8}"/>
            </a:ext>
          </a:extLst>
        </xdr:cNvPr>
        <xdr:cNvSpPr/>
      </xdr:nvSpPr>
      <xdr:spPr>
        <a:xfrm>
          <a:off x="952500" y="98202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80</xdr:row>
      <xdr:rowOff>114300</xdr:rowOff>
    </xdr:from>
    <xdr:to>
      <xdr:col>2</xdr:col>
      <xdr:colOff>523875</xdr:colOff>
      <xdr:row>82</xdr:row>
      <xdr:rowOff>47625</xdr:rowOff>
    </xdr:to>
    <xdr:sp macro="" textlink="">
      <xdr:nvSpPr>
        <xdr:cNvPr id="29" name="Star: 5 Points 28">
          <a:extLst>
            <a:ext uri="{FF2B5EF4-FFF2-40B4-BE49-F238E27FC236}">
              <a16:creationId xmlns:a16="http://schemas.microsoft.com/office/drawing/2014/main" id="{D0F5DE3A-529C-4278-88D1-6EE5DA63D020}"/>
            </a:ext>
          </a:extLst>
        </xdr:cNvPr>
        <xdr:cNvSpPr/>
      </xdr:nvSpPr>
      <xdr:spPr>
        <a:xfrm>
          <a:off x="1400175" y="98202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80</xdr:row>
      <xdr:rowOff>123825</xdr:rowOff>
    </xdr:from>
    <xdr:to>
      <xdr:col>3</xdr:col>
      <xdr:colOff>342900</xdr:colOff>
      <xdr:row>82</xdr:row>
      <xdr:rowOff>57150</xdr:rowOff>
    </xdr:to>
    <xdr:sp macro="" textlink="">
      <xdr:nvSpPr>
        <xdr:cNvPr id="30" name="Star: 5 Points 29">
          <a:extLst>
            <a:ext uri="{FF2B5EF4-FFF2-40B4-BE49-F238E27FC236}">
              <a16:creationId xmlns:a16="http://schemas.microsoft.com/office/drawing/2014/main" id="{FFDBFC4D-9469-405D-A953-1A273DCCD420}"/>
            </a:ext>
          </a:extLst>
        </xdr:cNvPr>
        <xdr:cNvSpPr/>
      </xdr:nvSpPr>
      <xdr:spPr>
        <a:xfrm>
          <a:off x="1828800" y="98298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84</xdr:row>
      <xdr:rowOff>57151</xdr:rowOff>
    </xdr:from>
    <xdr:to>
      <xdr:col>4</xdr:col>
      <xdr:colOff>57150</xdr:colOff>
      <xdr:row>88</xdr:row>
      <xdr:rowOff>9526</xdr:rowOff>
    </xdr:to>
    <xdr:sp macro="" textlink="">
      <xdr:nvSpPr>
        <xdr:cNvPr id="31" name="Rectangle 30">
          <a:extLst>
            <a:ext uri="{FF2B5EF4-FFF2-40B4-BE49-F238E27FC236}">
              <a16:creationId xmlns:a16="http://schemas.microsoft.com/office/drawing/2014/main" id="{0BCAE8CC-3E02-4928-B707-93B5C4A7B2A8}"/>
            </a:ext>
          </a:extLst>
        </xdr:cNvPr>
        <xdr:cNvSpPr/>
      </xdr:nvSpPr>
      <xdr:spPr>
        <a:xfrm>
          <a:off x="85725" y="16459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90</xdr:row>
      <xdr:rowOff>76201</xdr:rowOff>
    </xdr:from>
    <xdr:to>
      <xdr:col>4</xdr:col>
      <xdr:colOff>57150</xdr:colOff>
      <xdr:row>94</xdr:row>
      <xdr:rowOff>38101</xdr:rowOff>
    </xdr:to>
    <xdr:sp macro="" textlink="">
      <xdr:nvSpPr>
        <xdr:cNvPr id="32" name="Rectangle 31">
          <a:extLst>
            <a:ext uri="{FF2B5EF4-FFF2-40B4-BE49-F238E27FC236}">
              <a16:creationId xmlns:a16="http://schemas.microsoft.com/office/drawing/2014/main" id="{522F03DC-AC3D-458F-9EFF-7475FF285CC3}"/>
            </a:ext>
          </a:extLst>
        </xdr:cNvPr>
        <xdr:cNvSpPr/>
      </xdr:nvSpPr>
      <xdr:spPr>
        <a:xfrm>
          <a:off x="85725" y="17640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96</xdr:row>
      <xdr:rowOff>123825</xdr:rowOff>
    </xdr:from>
    <xdr:to>
      <xdr:col>4</xdr:col>
      <xdr:colOff>76200</xdr:colOff>
      <xdr:row>105</xdr:row>
      <xdr:rowOff>9525</xdr:rowOff>
    </xdr:to>
    <xdr:sp macro="" textlink="">
      <xdr:nvSpPr>
        <xdr:cNvPr id="33" name="Rectangle 32">
          <a:extLst>
            <a:ext uri="{FF2B5EF4-FFF2-40B4-BE49-F238E27FC236}">
              <a16:creationId xmlns:a16="http://schemas.microsoft.com/office/drawing/2014/main" id="{C75FB0E5-B471-497F-8351-136EE7020EFA}"/>
            </a:ext>
          </a:extLst>
        </xdr:cNvPr>
        <xdr:cNvSpPr/>
      </xdr:nvSpPr>
      <xdr:spPr>
        <a:xfrm>
          <a:off x="104775" y="188404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84</xdr:row>
      <xdr:rowOff>38100</xdr:rowOff>
    </xdr:from>
    <xdr:to>
      <xdr:col>8</xdr:col>
      <xdr:colOff>561975</xdr:colOff>
      <xdr:row>86</xdr:row>
      <xdr:rowOff>161925</xdr:rowOff>
    </xdr:to>
    <xdr:sp macro="" textlink="">
      <xdr:nvSpPr>
        <xdr:cNvPr id="34" name="Rectangle 33">
          <a:extLst>
            <a:ext uri="{FF2B5EF4-FFF2-40B4-BE49-F238E27FC236}">
              <a16:creationId xmlns:a16="http://schemas.microsoft.com/office/drawing/2014/main" id="{8BB4C9A8-4BA0-41D6-837C-F74E6BCB0984}"/>
            </a:ext>
          </a:extLst>
        </xdr:cNvPr>
        <xdr:cNvSpPr/>
      </xdr:nvSpPr>
      <xdr:spPr>
        <a:xfrm>
          <a:off x="3028950" y="1051560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90</xdr:row>
      <xdr:rowOff>76201</xdr:rowOff>
    </xdr:from>
    <xdr:to>
      <xdr:col>8</xdr:col>
      <xdr:colOff>561975</xdr:colOff>
      <xdr:row>94</xdr:row>
      <xdr:rowOff>38101</xdr:rowOff>
    </xdr:to>
    <xdr:sp macro="" textlink="">
      <xdr:nvSpPr>
        <xdr:cNvPr id="35" name="Rectangle 34">
          <a:extLst>
            <a:ext uri="{FF2B5EF4-FFF2-40B4-BE49-F238E27FC236}">
              <a16:creationId xmlns:a16="http://schemas.microsoft.com/office/drawing/2014/main" id="{C47F3B93-A14C-4DA1-800E-FC26EBBBA44E}"/>
            </a:ext>
          </a:extLst>
        </xdr:cNvPr>
        <xdr:cNvSpPr/>
      </xdr:nvSpPr>
      <xdr:spPr>
        <a:xfrm>
          <a:off x="3028950" y="117157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96</xdr:row>
      <xdr:rowOff>104775</xdr:rowOff>
    </xdr:from>
    <xdr:to>
      <xdr:col>8</xdr:col>
      <xdr:colOff>561975</xdr:colOff>
      <xdr:row>98</xdr:row>
      <xdr:rowOff>57150</xdr:rowOff>
    </xdr:to>
    <xdr:sp macro="" textlink="">
      <xdr:nvSpPr>
        <xdr:cNvPr id="36" name="Rectangle 35">
          <a:extLst>
            <a:ext uri="{FF2B5EF4-FFF2-40B4-BE49-F238E27FC236}">
              <a16:creationId xmlns:a16="http://schemas.microsoft.com/office/drawing/2014/main" id="{45A27E52-3475-4DF9-B537-B45E342686BB}"/>
            </a:ext>
          </a:extLst>
        </xdr:cNvPr>
        <xdr:cNvSpPr/>
      </xdr:nvSpPr>
      <xdr:spPr>
        <a:xfrm>
          <a:off x="3028950" y="12896850"/>
          <a:ext cx="2409825"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Melissa McCoy</a:t>
          </a:r>
        </a:p>
      </xdr:txBody>
    </xdr:sp>
    <xdr:clientData/>
  </xdr:twoCellAnchor>
  <xdr:twoCellAnchor>
    <xdr:from>
      <xdr:col>4</xdr:col>
      <xdr:colOff>581026</xdr:colOff>
      <xdr:row>100</xdr:row>
      <xdr:rowOff>104775</xdr:rowOff>
    </xdr:from>
    <xdr:to>
      <xdr:col>5</xdr:col>
      <xdr:colOff>276226</xdr:colOff>
      <xdr:row>102</xdr:row>
      <xdr:rowOff>57150</xdr:rowOff>
    </xdr:to>
    <xdr:sp macro="" textlink="">
      <xdr:nvSpPr>
        <xdr:cNvPr id="37" name="Rectangle 36">
          <a:extLst>
            <a:ext uri="{FF2B5EF4-FFF2-40B4-BE49-F238E27FC236}">
              <a16:creationId xmlns:a16="http://schemas.microsoft.com/office/drawing/2014/main" id="{D65C86EA-010C-4830-926B-F0A4C1D67D30}"/>
            </a:ext>
          </a:extLst>
        </xdr:cNvPr>
        <xdr:cNvSpPr/>
      </xdr:nvSpPr>
      <xdr:spPr>
        <a:xfrm>
          <a:off x="3019426" y="13658850"/>
          <a:ext cx="304800"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9</xdr:col>
      <xdr:colOff>428625</xdr:colOff>
      <xdr:row>84</xdr:row>
      <xdr:rowOff>19049</xdr:rowOff>
    </xdr:from>
    <xdr:to>
      <xdr:col>13</xdr:col>
      <xdr:colOff>400050</xdr:colOff>
      <xdr:row>112</xdr:row>
      <xdr:rowOff>95249</xdr:rowOff>
    </xdr:to>
    <xdr:sp macro="" textlink="">
      <xdr:nvSpPr>
        <xdr:cNvPr id="38" name="Rectangle 37">
          <a:extLst>
            <a:ext uri="{FF2B5EF4-FFF2-40B4-BE49-F238E27FC236}">
              <a16:creationId xmlns:a16="http://schemas.microsoft.com/office/drawing/2014/main" id="{8387284E-EBD0-4E98-95EA-D60F31CD98BE}"/>
            </a:ext>
          </a:extLst>
        </xdr:cNvPr>
        <xdr:cNvSpPr/>
      </xdr:nvSpPr>
      <xdr:spPr>
        <a:xfrm>
          <a:off x="5915025" y="16421099"/>
          <a:ext cx="2409825" cy="54387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a:t>
          </a:r>
          <a:r>
            <a:rPr lang="en-US" sz="1100" b="0" i="0">
              <a:solidFill>
                <a:schemeClr val="lt1"/>
              </a:solidFill>
              <a:effectLst/>
              <a:latin typeface="+mn-lt"/>
              <a:ea typeface="+mn-ea"/>
              <a:cs typeface="+mn-cs"/>
            </a:rPr>
            <a:t>: Recruiting Event</a:t>
          </a:r>
        </a:p>
        <a:p>
          <a:pPr algn="l"/>
          <a:r>
            <a:rPr lang="en-US" sz="1100" b="1" i="0">
              <a:solidFill>
                <a:schemeClr val="lt1"/>
              </a:solidFill>
              <a:effectLst/>
              <a:latin typeface="+mn-lt"/>
              <a:ea typeface="+mn-ea"/>
              <a:cs typeface="+mn-cs"/>
            </a:rPr>
            <a:t>Details</a:t>
          </a:r>
          <a:r>
            <a:rPr lang="en-US" sz="1100" b="0" i="0">
              <a:solidFill>
                <a:schemeClr val="lt1"/>
              </a:solidFill>
              <a:effectLst/>
              <a:latin typeface="+mn-lt"/>
              <a:ea typeface="+mn-ea"/>
              <a:cs typeface="+mn-cs"/>
            </a:rPr>
            <a:t>: Date: April 8, 2025 Time: 10:00 AM - 1:00 PM (Employer set-up begins at 9:00 AM) </a:t>
          </a: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Center for Health Careers Education (CH Building), GateWay Community College - Washington Campus (Tempe, AZ)</a:t>
          </a:r>
        </a:p>
        <a:p>
          <a:pPr algn="l"/>
          <a:r>
            <a:rPr lang="en-US" sz="1100" b="1" i="0">
              <a:solidFill>
                <a:schemeClr val="lt1"/>
              </a:solidFill>
              <a:effectLst/>
              <a:latin typeface="+mn-lt"/>
              <a:ea typeface="+mn-ea"/>
              <a:cs typeface="+mn-cs"/>
            </a:rPr>
            <a:t>Programs Featured</a:t>
          </a:r>
          <a:r>
            <a:rPr lang="en-US" sz="1100" b="0" i="0">
              <a:solidFill>
                <a:schemeClr val="lt1"/>
              </a:solidFill>
              <a:effectLst/>
              <a:latin typeface="+mn-lt"/>
              <a:ea typeface="+mn-ea"/>
              <a:cs typeface="+mn-cs"/>
            </a:rPr>
            <a:t>: Physical Therapy Assistant, Occupational Therapy </a:t>
          </a:r>
          <a:r>
            <a:rPr lang="en-US" sz="1100" b="1" i="0">
              <a:solidFill>
                <a:schemeClr val="lt1"/>
              </a:solidFill>
              <a:effectLst/>
              <a:latin typeface="+mn-lt"/>
              <a:ea typeface="+mn-ea"/>
              <a:cs typeface="+mn-cs"/>
            </a:rPr>
            <a:t>Assistant Cost </a:t>
          </a:r>
          <a:r>
            <a:rPr lang="en-US" sz="1100" b="0" i="0">
              <a:solidFill>
                <a:schemeClr val="lt1"/>
              </a:solidFill>
              <a:effectLst/>
              <a:latin typeface="+mn-lt"/>
              <a:ea typeface="+mn-ea"/>
              <a:cs typeface="+mn-cs"/>
            </a:rPr>
            <a:t>: $100.00 per table </a:t>
          </a:r>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Come meet your future talent pipeline at this event. We would like to partner with organizations to participate in this Career Fair that is specifically designed for these two programs. Refreshments will be provided for employers and students. We will have tables set up for you to use, so kindly bring some SWAG and a table cover that identifies your company/organization. Please bring no more than four representatives per organization. Also, bring the job descriptions for the positions that you are hiring for. We are looking forward to providing you with this exciting opportunity to meet our newly graduating or graduated PTA and OTA students. We hope to hear back from you soon.</a:t>
          </a:r>
          <a:endParaRPr lang="en-US" sz="1100"/>
        </a:p>
      </xdr:txBody>
    </xdr:sp>
    <xdr:clientData/>
  </xdr:twoCellAnchor>
  <xdr:twoCellAnchor>
    <xdr:from>
      <xdr:col>0</xdr:col>
      <xdr:colOff>123825</xdr:colOff>
      <xdr:row>107</xdr:row>
      <xdr:rowOff>85725</xdr:rowOff>
    </xdr:from>
    <xdr:to>
      <xdr:col>4</xdr:col>
      <xdr:colOff>95250</xdr:colOff>
      <xdr:row>115</xdr:row>
      <xdr:rowOff>38100</xdr:rowOff>
    </xdr:to>
    <xdr:sp macro="" textlink="">
      <xdr:nvSpPr>
        <xdr:cNvPr id="40" name="Rectangle 39">
          <a:extLst>
            <a:ext uri="{FF2B5EF4-FFF2-40B4-BE49-F238E27FC236}">
              <a16:creationId xmlns:a16="http://schemas.microsoft.com/office/drawing/2014/main" id="{CBEBED2D-DE99-46C2-A033-D14744855CD3}"/>
            </a:ext>
          </a:extLst>
        </xdr:cNvPr>
        <xdr:cNvSpPr/>
      </xdr:nvSpPr>
      <xdr:spPr>
        <a:xfrm>
          <a:off x="123825" y="20897850"/>
          <a:ext cx="2409825" cy="1476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Total Budget$335 </a:t>
          </a:r>
        </a:p>
        <a:p>
          <a:pPr algn="l"/>
          <a:r>
            <a:rPr lang="en-US" sz="1100" b="0" i="0">
              <a:solidFill>
                <a:schemeClr val="lt1"/>
              </a:solidFill>
              <a:effectLst/>
              <a:latin typeface="+mn-lt"/>
              <a:ea typeface="+mn-ea"/>
              <a:cs typeface="+mn-cs"/>
            </a:rPr>
            <a:t>Table Fee $50 (Was $100 but I signed up for the 50% off special), </a:t>
          </a:r>
        </a:p>
        <a:p>
          <a:pPr algn="l"/>
          <a:r>
            <a:rPr lang="en-US" sz="1100" b="0" i="0">
              <a:solidFill>
                <a:schemeClr val="lt1"/>
              </a:solidFill>
              <a:effectLst/>
              <a:latin typeface="+mn-lt"/>
              <a:ea typeface="+mn-ea"/>
              <a:cs typeface="+mn-cs"/>
            </a:rPr>
            <a:t>Gift Basket $100, </a:t>
          </a:r>
        </a:p>
        <a:p>
          <a:pPr algn="l"/>
          <a:r>
            <a:rPr lang="en-US" sz="1100" b="0" i="0">
              <a:solidFill>
                <a:schemeClr val="lt1"/>
              </a:solidFill>
              <a:effectLst/>
              <a:latin typeface="+mn-lt"/>
              <a:ea typeface="+mn-ea"/>
              <a:cs typeface="+mn-cs"/>
            </a:rPr>
            <a:t>SWAG $50, </a:t>
          </a:r>
        </a:p>
        <a:p>
          <a:pPr algn="l"/>
          <a:r>
            <a:rPr lang="en-US" sz="1100" b="0" i="0">
              <a:solidFill>
                <a:schemeClr val="lt1"/>
              </a:solidFill>
              <a:effectLst/>
              <a:latin typeface="+mn-lt"/>
              <a:ea typeface="+mn-ea"/>
              <a:cs typeface="+mn-cs"/>
            </a:rPr>
            <a:t>Candy $20, </a:t>
          </a:r>
        </a:p>
        <a:p>
          <a:pPr algn="l"/>
          <a:r>
            <a:rPr lang="en-US" sz="1100" b="0" i="0">
              <a:solidFill>
                <a:schemeClr val="lt1"/>
              </a:solidFill>
              <a:effectLst/>
              <a:latin typeface="+mn-lt"/>
              <a:ea typeface="+mn-ea"/>
              <a:cs typeface="+mn-cs"/>
            </a:rPr>
            <a:t>Tablecloth Cleaning $15, </a:t>
          </a:r>
        </a:p>
        <a:p>
          <a:pPr algn="l"/>
          <a:r>
            <a:rPr lang="en-US" sz="1100" b="0" i="0">
              <a:solidFill>
                <a:schemeClr val="lt1"/>
              </a:solidFill>
              <a:effectLst/>
              <a:latin typeface="+mn-lt"/>
              <a:ea typeface="+mn-ea"/>
              <a:cs typeface="+mn-cs"/>
            </a:rPr>
            <a:t>Mileage $100 (? 2 people)</a:t>
          </a:r>
          <a:endParaRPr lang="en-US" sz="1100"/>
        </a:p>
      </xdr:txBody>
    </xdr:sp>
    <xdr:clientData/>
  </xdr:twoCellAnchor>
  <xdr:twoCellAnchor>
    <xdr:from>
      <xdr:col>4</xdr:col>
      <xdr:colOff>581025</xdr:colOff>
      <xdr:row>104</xdr:row>
      <xdr:rowOff>95250</xdr:rowOff>
    </xdr:from>
    <xdr:to>
      <xdr:col>8</xdr:col>
      <xdr:colOff>552450</xdr:colOff>
      <xdr:row>106</xdr:row>
      <xdr:rowOff>66675</xdr:rowOff>
    </xdr:to>
    <xdr:sp macro="" textlink="">
      <xdr:nvSpPr>
        <xdr:cNvPr id="41" name="Rectangle 40">
          <a:extLst>
            <a:ext uri="{FF2B5EF4-FFF2-40B4-BE49-F238E27FC236}">
              <a16:creationId xmlns:a16="http://schemas.microsoft.com/office/drawing/2014/main" id="{C3404FDD-C1E5-45BE-8205-779FFADFE66A}"/>
            </a:ext>
          </a:extLst>
        </xdr:cNvPr>
        <xdr:cNvSpPr/>
      </xdr:nvSpPr>
      <xdr:spPr>
        <a:xfrm>
          <a:off x="3019425" y="2033587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OTA and POTA students and graduates</a:t>
          </a:r>
          <a:endParaRPr lang="en-US" sz="1100"/>
        </a:p>
      </xdr:txBody>
    </xdr:sp>
    <xdr:clientData/>
  </xdr:twoCellAnchor>
  <xdr:twoCellAnchor>
    <xdr:from>
      <xdr:col>4</xdr:col>
      <xdr:colOff>552450</xdr:colOff>
      <xdr:row>108</xdr:row>
      <xdr:rowOff>133350</xdr:rowOff>
    </xdr:from>
    <xdr:to>
      <xdr:col>8</xdr:col>
      <xdr:colOff>523875</xdr:colOff>
      <xdr:row>110</xdr:row>
      <xdr:rowOff>104775</xdr:rowOff>
    </xdr:to>
    <xdr:sp macro="" textlink="">
      <xdr:nvSpPr>
        <xdr:cNvPr id="42" name="Rectangle 41">
          <a:extLst>
            <a:ext uri="{FF2B5EF4-FFF2-40B4-BE49-F238E27FC236}">
              <a16:creationId xmlns:a16="http://schemas.microsoft.com/office/drawing/2014/main" id="{2E7B290B-090F-4E2B-910F-3BDEAB1849D9}"/>
            </a:ext>
          </a:extLst>
        </xdr:cNvPr>
        <xdr:cNvSpPr/>
      </xdr:nvSpPr>
      <xdr:spPr>
        <a:xfrm>
          <a:off x="2990850" y="2113597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Sante/Aleca</a:t>
          </a:r>
          <a:endParaRPr lang="en-US" sz="1100"/>
        </a:p>
      </xdr:txBody>
    </xdr:sp>
    <xdr:clientData/>
  </xdr:twoCellAnchor>
  <xdr:twoCellAnchor>
    <xdr:from>
      <xdr:col>4</xdr:col>
      <xdr:colOff>561975</xdr:colOff>
      <xdr:row>112</xdr:row>
      <xdr:rowOff>76200</xdr:rowOff>
    </xdr:from>
    <xdr:to>
      <xdr:col>8</xdr:col>
      <xdr:colOff>533400</xdr:colOff>
      <xdr:row>114</xdr:row>
      <xdr:rowOff>47625</xdr:rowOff>
    </xdr:to>
    <xdr:sp macro="" textlink="">
      <xdr:nvSpPr>
        <xdr:cNvPr id="43" name="Rectangle 42">
          <a:hlinkClick xmlns:r="http://schemas.openxmlformats.org/officeDocument/2006/relationships" r:id="rId1"/>
          <a:extLst>
            <a:ext uri="{FF2B5EF4-FFF2-40B4-BE49-F238E27FC236}">
              <a16:creationId xmlns:a16="http://schemas.microsoft.com/office/drawing/2014/main" id="{63790BA4-432D-4DC3-8AD3-194B99467E68}"/>
            </a:ext>
          </a:extLst>
        </xdr:cNvPr>
        <xdr:cNvSpPr/>
      </xdr:nvSpPr>
      <xdr:spPr>
        <a:xfrm>
          <a:off x="3000375" y="2184082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https://www.gatewaycc.edu/</a:t>
          </a:r>
          <a:endParaRPr lang="en-US" sz="1100"/>
        </a:p>
      </xdr:txBody>
    </xdr:sp>
    <xdr:clientData/>
  </xdr:twoCellAnchor>
  <xdr:twoCellAnchor>
    <xdr:from>
      <xdr:col>0</xdr:col>
      <xdr:colOff>95250</xdr:colOff>
      <xdr:row>119</xdr:row>
      <xdr:rowOff>95250</xdr:rowOff>
    </xdr:from>
    <xdr:to>
      <xdr:col>0</xdr:col>
      <xdr:colOff>438150</xdr:colOff>
      <xdr:row>121</xdr:row>
      <xdr:rowOff>28575</xdr:rowOff>
    </xdr:to>
    <xdr:sp macro="" textlink="">
      <xdr:nvSpPr>
        <xdr:cNvPr id="78" name="Star: 5 Points 77">
          <a:extLst>
            <a:ext uri="{FF2B5EF4-FFF2-40B4-BE49-F238E27FC236}">
              <a16:creationId xmlns:a16="http://schemas.microsoft.com/office/drawing/2014/main" id="{F5A6B5E2-F358-4375-B995-6AD442F3441A}"/>
            </a:ext>
          </a:extLst>
        </xdr:cNvPr>
        <xdr:cNvSpPr/>
      </xdr:nvSpPr>
      <xdr:spPr>
        <a:xfrm>
          <a:off x="95250" y="157257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119</xdr:row>
      <xdr:rowOff>114300</xdr:rowOff>
    </xdr:from>
    <xdr:to>
      <xdr:col>1</xdr:col>
      <xdr:colOff>247650</xdr:colOff>
      <xdr:row>121</xdr:row>
      <xdr:rowOff>47625</xdr:rowOff>
    </xdr:to>
    <xdr:sp macro="" textlink="">
      <xdr:nvSpPr>
        <xdr:cNvPr id="79" name="Star: 5 Points 78">
          <a:extLst>
            <a:ext uri="{FF2B5EF4-FFF2-40B4-BE49-F238E27FC236}">
              <a16:creationId xmlns:a16="http://schemas.microsoft.com/office/drawing/2014/main" id="{EC22F632-C7B3-4AE8-B225-259CE6EAF4C0}"/>
            </a:ext>
          </a:extLst>
        </xdr:cNvPr>
        <xdr:cNvSpPr/>
      </xdr:nvSpPr>
      <xdr:spPr>
        <a:xfrm>
          <a:off x="514350" y="15744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119</xdr:row>
      <xdr:rowOff>114300</xdr:rowOff>
    </xdr:from>
    <xdr:to>
      <xdr:col>2</xdr:col>
      <xdr:colOff>76200</xdr:colOff>
      <xdr:row>121</xdr:row>
      <xdr:rowOff>47625</xdr:rowOff>
    </xdr:to>
    <xdr:sp macro="" textlink="">
      <xdr:nvSpPr>
        <xdr:cNvPr id="80" name="Star: 5 Points 79">
          <a:extLst>
            <a:ext uri="{FF2B5EF4-FFF2-40B4-BE49-F238E27FC236}">
              <a16:creationId xmlns:a16="http://schemas.microsoft.com/office/drawing/2014/main" id="{0113601E-E239-4B12-BAD1-16B712E2BFAF}"/>
            </a:ext>
          </a:extLst>
        </xdr:cNvPr>
        <xdr:cNvSpPr/>
      </xdr:nvSpPr>
      <xdr:spPr>
        <a:xfrm>
          <a:off x="952500" y="15744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119</xdr:row>
      <xdr:rowOff>114300</xdr:rowOff>
    </xdr:from>
    <xdr:to>
      <xdr:col>2</xdr:col>
      <xdr:colOff>523875</xdr:colOff>
      <xdr:row>121</xdr:row>
      <xdr:rowOff>47625</xdr:rowOff>
    </xdr:to>
    <xdr:sp macro="" textlink="">
      <xdr:nvSpPr>
        <xdr:cNvPr id="81" name="Star: 5 Points 80">
          <a:extLst>
            <a:ext uri="{FF2B5EF4-FFF2-40B4-BE49-F238E27FC236}">
              <a16:creationId xmlns:a16="http://schemas.microsoft.com/office/drawing/2014/main" id="{05701DEB-42BB-4EE6-AAB0-A83CD984D13D}"/>
            </a:ext>
          </a:extLst>
        </xdr:cNvPr>
        <xdr:cNvSpPr/>
      </xdr:nvSpPr>
      <xdr:spPr>
        <a:xfrm>
          <a:off x="1400175" y="15744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119</xdr:row>
      <xdr:rowOff>123825</xdr:rowOff>
    </xdr:from>
    <xdr:to>
      <xdr:col>3</xdr:col>
      <xdr:colOff>342900</xdr:colOff>
      <xdr:row>121</xdr:row>
      <xdr:rowOff>57150</xdr:rowOff>
    </xdr:to>
    <xdr:sp macro="" textlink="">
      <xdr:nvSpPr>
        <xdr:cNvPr id="82" name="Star: 5 Points 81">
          <a:extLst>
            <a:ext uri="{FF2B5EF4-FFF2-40B4-BE49-F238E27FC236}">
              <a16:creationId xmlns:a16="http://schemas.microsoft.com/office/drawing/2014/main" id="{6C58F155-8962-428A-B1BE-8CA3C285923C}"/>
            </a:ext>
          </a:extLst>
        </xdr:cNvPr>
        <xdr:cNvSpPr/>
      </xdr:nvSpPr>
      <xdr:spPr>
        <a:xfrm>
          <a:off x="1828800" y="157543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123</xdr:row>
      <xdr:rowOff>57151</xdr:rowOff>
    </xdr:from>
    <xdr:to>
      <xdr:col>4</xdr:col>
      <xdr:colOff>57150</xdr:colOff>
      <xdr:row>127</xdr:row>
      <xdr:rowOff>9526</xdr:rowOff>
    </xdr:to>
    <xdr:sp macro="" textlink="">
      <xdr:nvSpPr>
        <xdr:cNvPr id="83" name="Rectangle 82">
          <a:extLst>
            <a:ext uri="{FF2B5EF4-FFF2-40B4-BE49-F238E27FC236}">
              <a16:creationId xmlns:a16="http://schemas.microsoft.com/office/drawing/2014/main" id="{8F82A57D-A391-4EB2-8FBC-9A129DA74F55}"/>
            </a:ext>
          </a:extLst>
        </xdr:cNvPr>
        <xdr:cNvSpPr/>
      </xdr:nvSpPr>
      <xdr:spPr>
        <a:xfrm>
          <a:off x="85725" y="164592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129</xdr:row>
      <xdr:rowOff>76201</xdr:rowOff>
    </xdr:from>
    <xdr:to>
      <xdr:col>4</xdr:col>
      <xdr:colOff>57150</xdr:colOff>
      <xdr:row>133</xdr:row>
      <xdr:rowOff>38101</xdr:rowOff>
    </xdr:to>
    <xdr:sp macro="" textlink="">
      <xdr:nvSpPr>
        <xdr:cNvPr id="84" name="Rectangle 83">
          <a:extLst>
            <a:ext uri="{FF2B5EF4-FFF2-40B4-BE49-F238E27FC236}">
              <a16:creationId xmlns:a16="http://schemas.microsoft.com/office/drawing/2014/main" id="{E588CA0A-4397-47E5-BAF4-041E24125A69}"/>
            </a:ext>
          </a:extLst>
        </xdr:cNvPr>
        <xdr:cNvSpPr/>
      </xdr:nvSpPr>
      <xdr:spPr>
        <a:xfrm>
          <a:off x="85725" y="17640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135</xdr:row>
      <xdr:rowOff>123825</xdr:rowOff>
    </xdr:from>
    <xdr:to>
      <xdr:col>4</xdr:col>
      <xdr:colOff>76200</xdr:colOff>
      <xdr:row>144</xdr:row>
      <xdr:rowOff>9525</xdr:rowOff>
    </xdr:to>
    <xdr:sp macro="" textlink="">
      <xdr:nvSpPr>
        <xdr:cNvPr id="85" name="Rectangle 84">
          <a:extLst>
            <a:ext uri="{FF2B5EF4-FFF2-40B4-BE49-F238E27FC236}">
              <a16:creationId xmlns:a16="http://schemas.microsoft.com/office/drawing/2014/main" id="{6733BB5C-D9E3-41A3-A951-F27EAEE13601}"/>
            </a:ext>
          </a:extLst>
        </xdr:cNvPr>
        <xdr:cNvSpPr/>
      </xdr:nvSpPr>
      <xdr:spPr>
        <a:xfrm>
          <a:off x="104775" y="1884045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123</xdr:row>
      <xdr:rowOff>38100</xdr:rowOff>
    </xdr:from>
    <xdr:to>
      <xdr:col>8</xdr:col>
      <xdr:colOff>561975</xdr:colOff>
      <xdr:row>125</xdr:row>
      <xdr:rowOff>161925</xdr:rowOff>
    </xdr:to>
    <xdr:sp macro="" textlink="">
      <xdr:nvSpPr>
        <xdr:cNvPr id="86" name="Rectangle 85">
          <a:extLst>
            <a:ext uri="{FF2B5EF4-FFF2-40B4-BE49-F238E27FC236}">
              <a16:creationId xmlns:a16="http://schemas.microsoft.com/office/drawing/2014/main" id="{1A53FDD3-8213-4C6E-A5F8-D24F5FAB7F07}"/>
            </a:ext>
          </a:extLst>
        </xdr:cNvPr>
        <xdr:cNvSpPr/>
      </xdr:nvSpPr>
      <xdr:spPr>
        <a:xfrm>
          <a:off x="3028950" y="1644015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129</xdr:row>
      <xdr:rowOff>76201</xdr:rowOff>
    </xdr:from>
    <xdr:to>
      <xdr:col>8</xdr:col>
      <xdr:colOff>561975</xdr:colOff>
      <xdr:row>133</xdr:row>
      <xdr:rowOff>38101</xdr:rowOff>
    </xdr:to>
    <xdr:sp macro="" textlink="">
      <xdr:nvSpPr>
        <xdr:cNvPr id="87" name="Rectangle 86">
          <a:extLst>
            <a:ext uri="{FF2B5EF4-FFF2-40B4-BE49-F238E27FC236}">
              <a16:creationId xmlns:a16="http://schemas.microsoft.com/office/drawing/2014/main" id="{7244D749-94AA-40CE-B36D-FC37F92A0803}"/>
            </a:ext>
          </a:extLst>
        </xdr:cNvPr>
        <xdr:cNvSpPr/>
      </xdr:nvSpPr>
      <xdr:spPr>
        <a:xfrm>
          <a:off x="3028950" y="1764030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135</xdr:row>
      <xdr:rowOff>104775</xdr:rowOff>
    </xdr:from>
    <xdr:to>
      <xdr:col>8</xdr:col>
      <xdr:colOff>561975</xdr:colOff>
      <xdr:row>137</xdr:row>
      <xdr:rowOff>57150</xdr:rowOff>
    </xdr:to>
    <xdr:sp macro="" textlink="">
      <xdr:nvSpPr>
        <xdr:cNvPr id="88" name="Rectangle 87">
          <a:extLst>
            <a:ext uri="{FF2B5EF4-FFF2-40B4-BE49-F238E27FC236}">
              <a16:creationId xmlns:a16="http://schemas.microsoft.com/office/drawing/2014/main" id="{9BE4C1D0-5B92-4B1D-B947-A8E680167CA0}"/>
            </a:ext>
          </a:extLst>
        </xdr:cNvPr>
        <xdr:cNvSpPr/>
      </xdr:nvSpPr>
      <xdr:spPr>
        <a:xfrm>
          <a:off x="3028950" y="18821400"/>
          <a:ext cx="2409825"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Melissa McCoy</a:t>
          </a:r>
        </a:p>
      </xdr:txBody>
    </xdr:sp>
    <xdr:clientData/>
  </xdr:twoCellAnchor>
  <xdr:twoCellAnchor>
    <xdr:from>
      <xdr:col>4</xdr:col>
      <xdr:colOff>581026</xdr:colOff>
      <xdr:row>139</xdr:row>
      <xdr:rowOff>104775</xdr:rowOff>
    </xdr:from>
    <xdr:to>
      <xdr:col>5</xdr:col>
      <xdr:colOff>276226</xdr:colOff>
      <xdr:row>141</xdr:row>
      <xdr:rowOff>57150</xdr:rowOff>
    </xdr:to>
    <xdr:sp macro="" textlink="">
      <xdr:nvSpPr>
        <xdr:cNvPr id="89" name="Rectangle 88">
          <a:extLst>
            <a:ext uri="{FF2B5EF4-FFF2-40B4-BE49-F238E27FC236}">
              <a16:creationId xmlns:a16="http://schemas.microsoft.com/office/drawing/2014/main" id="{71158503-44B0-4AB6-B546-911BF4A3F2D4}"/>
            </a:ext>
          </a:extLst>
        </xdr:cNvPr>
        <xdr:cNvSpPr/>
      </xdr:nvSpPr>
      <xdr:spPr>
        <a:xfrm>
          <a:off x="3019426" y="19583400"/>
          <a:ext cx="304800"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9</xdr:col>
      <xdr:colOff>428625</xdr:colOff>
      <xdr:row>123</xdr:row>
      <xdr:rowOff>19049</xdr:rowOff>
    </xdr:from>
    <xdr:to>
      <xdr:col>13</xdr:col>
      <xdr:colOff>400050</xdr:colOff>
      <xdr:row>150</xdr:row>
      <xdr:rowOff>104775</xdr:rowOff>
    </xdr:to>
    <xdr:sp macro="" textlink="">
      <xdr:nvSpPr>
        <xdr:cNvPr id="90" name="Rectangle 89">
          <a:extLst>
            <a:ext uri="{FF2B5EF4-FFF2-40B4-BE49-F238E27FC236}">
              <a16:creationId xmlns:a16="http://schemas.microsoft.com/office/drawing/2014/main" id="{518F8DA3-F93A-489E-9705-F0D0C833D7C0}"/>
            </a:ext>
          </a:extLst>
        </xdr:cNvPr>
        <xdr:cNvSpPr/>
      </xdr:nvSpPr>
      <xdr:spPr>
        <a:xfrm>
          <a:off x="5915025" y="24060149"/>
          <a:ext cx="2409825" cy="52578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a:t>
          </a:r>
          <a:r>
            <a:rPr lang="en-US" sz="1100" b="0" i="0">
              <a:solidFill>
                <a:schemeClr val="lt1"/>
              </a:solidFill>
              <a:effectLst/>
              <a:latin typeface="+mn-lt"/>
              <a:ea typeface="+mn-ea"/>
              <a:cs typeface="+mn-cs"/>
            </a:rPr>
            <a:t>: Recruiting </a:t>
          </a: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East Valley Institute of Technology (EVIT). Gilbert, AZ</a:t>
          </a: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I would like to invite you to attend EVIT’s 2025 Spring Career Fair at EVIT Power Campus on April 4th and/or at EVIT Main Campus on April 11th. Career fairs are an opportunity for our current students who are preparing to enter the workforce upon completion, to learn more about the industries and careers that interest them. It is an opportunity for you as a community member, who were once in their shoes, to help them begin the exciting process of discovering their talents and passions. We couldn't host events like this one without industry partners like you, and we would be thrilled to have Sante North Scottsdale represented this year. Please refer to our web page for a list of programs at each campus to determine which campus (or both) would be the best fit. You can help make a difference in the community — and in the lives of EVIT students by providing work-based learning opportunities, job openings, or simply answering questions about your profession.</a:t>
          </a:r>
          <a:endParaRPr lang="en-US" sz="1100"/>
        </a:p>
      </xdr:txBody>
    </xdr:sp>
    <xdr:clientData/>
  </xdr:twoCellAnchor>
  <xdr:twoCellAnchor>
    <xdr:from>
      <xdr:col>0</xdr:col>
      <xdr:colOff>123825</xdr:colOff>
      <xdr:row>146</xdr:row>
      <xdr:rowOff>85725</xdr:rowOff>
    </xdr:from>
    <xdr:to>
      <xdr:col>4</xdr:col>
      <xdr:colOff>95250</xdr:colOff>
      <xdr:row>154</xdr:row>
      <xdr:rowOff>38100</xdr:rowOff>
    </xdr:to>
    <xdr:sp macro="" textlink="">
      <xdr:nvSpPr>
        <xdr:cNvPr id="91" name="Rectangle 90">
          <a:extLst>
            <a:ext uri="{FF2B5EF4-FFF2-40B4-BE49-F238E27FC236}">
              <a16:creationId xmlns:a16="http://schemas.microsoft.com/office/drawing/2014/main" id="{3D7542D5-59D8-4198-939F-1E874C661DC3}"/>
            </a:ext>
          </a:extLst>
        </xdr:cNvPr>
        <xdr:cNvSpPr/>
      </xdr:nvSpPr>
      <xdr:spPr>
        <a:xfrm>
          <a:off x="123825" y="20897850"/>
          <a:ext cx="2409825" cy="1476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Total Budget $285: </a:t>
          </a:r>
        </a:p>
        <a:p>
          <a:pPr algn="l"/>
          <a:r>
            <a:rPr lang="en-US" sz="1100" b="0" i="0">
              <a:solidFill>
                <a:schemeClr val="lt1"/>
              </a:solidFill>
              <a:effectLst/>
              <a:latin typeface="+mn-lt"/>
              <a:ea typeface="+mn-ea"/>
              <a:cs typeface="+mn-cs"/>
            </a:rPr>
            <a:t>Gift Basket $100, </a:t>
          </a:r>
        </a:p>
        <a:p>
          <a:pPr algn="l"/>
          <a:r>
            <a:rPr lang="en-US" sz="1100" b="0" i="0">
              <a:solidFill>
                <a:schemeClr val="lt1"/>
              </a:solidFill>
              <a:effectLst/>
              <a:latin typeface="+mn-lt"/>
              <a:ea typeface="+mn-ea"/>
              <a:cs typeface="+mn-cs"/>
            </a:rPr>
            <a:t>SWAG $50, </a:t>
          </a:r>
        </a:p>
        <a:p>
          <a:pPr algn="l"/>
          <a:r>
            <a:rPr lang="en-US" sz="1100" b="0" i="0">
              <a:solidFill>
                <a:schemeClr val="lt1"/>
              </a:solidFill>
              <a:effectLst/>
              <a:latin typeface="+mn-lt"/>
              <a:ea typeface="+mn-ea"/>
              <a:cs typeface="+mn-cs"/>
            </a:rPr>
            <a:t>Candy $20, </a:t>
          </a:r>
        </a:p>
        <a:p>
          <a:pPr algn="l"/>
          <a:r>
            <a:rPr lang="en-US" sz="1100" b="0" i="0">
              <a:solidFill>
                <a:schemeClr val="lt1"/>
              </a:solidFill>
              <a:effectLst/>
              <a:latin typeface="+mn-lt"/>
              <a:ea typeface="+mn-ea"/>
              <a:cs typeface="+mn-cs"/>
            </a:rPr>
            <a:t>Tablecloth Cleaning $15, </a:t>
          </a:r>
        </a:p>
        <a:p>
          <a:pPr algn="l"/>
          <a:r>
            <a:rPr lang="en-US" sz="1100" b="0" i="0">
              <a:solidFill>
                <a:schemeClr val="lt1"/>
              </a:solidFill>
              <a:effectLst/>
              <a:latin typeface="+mn-lt"/>
              <a:ea typeface="+mn-ea"/>
              <a:cs typeface="+mn-cs"/>
            </a:rPr>
            <a:t>Mileage $100 (? 2 people)</a:t>
          </a:r>
          <a:endParaRPr lang="en-US" sz="1100"/>
        </a:p>
      </xdr:txBody>
    </xdr:sp>
    <xdr:clientData/>
  </xdr:twoCellAnchor>
  <xdr:twoCellAnchor>
    <xdr:from>
      <xdr:col>4</xdr:col>
      <xdr:colOff>581025</xdr:colOff>
      <xdr:row>143</xdr:row>
      <xdr:rowOff>95250</xdr:rowOff>
    </xdr:from>
    <xdr:to>
      <xdr:col>9</xdr:col>
      <xdr:colOff>266700</xdr:colOff>
      <xdr:row>145</xdr:row>
      <xdr:rowOff>152400</xdr:rowOff>
    </xdr:to>
    <xdr:sp macro="" textlink="">
      <xdr:nvSpPr>
        <xdr:cNvPr id="92" name="Rectangle 91">
          <a:extLst>
            <a:ext uri="{FF2B5EF4-FFF2-40B4-BE49-F238E27FC236}">
              <a16:creationId xmlns:a16="http://schemas.microsoft.com/office/drawing/2014/main" id="{B5C8BAB2-13CE-4D7B-9FAE-7AFC6F927D53}"/>
            </a:ext>
          </a:extLst>
        </xdr:cNvPr>
        <xdr:cNvSpPr/>
      </xdr:nvSpPr>
      <xdr:spPr>
        <a:xfrm>
          <a:off x="3019425" y="27974925"/>
          <a:ext cx="2733675" cy="4381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Graduating Students and current Students in Nursing and PT Tech programs</a:t>
          </a:r>
          <a:endParaRPr lang="en-US" sz="1100"/>
        </a:p>
      </xdr:txBody>
    </xdr:sp>
    <xdr:clientData/>
  </xdr:twoCellAnchor>
  <xdr:twoCellAnchor>
    <xdr:from>
      <xdr:col>4</xdr:col>
      <xdr:colOff>552450</xdr:colOff>
      <xdr:row>147</xdr:row>
      <xdr:rowOff>133350</xdr:rowOff>
    </xdr:from>
    <xdr:to>
      <xdr:col>8</xdr:col>
      <xdr:colOff>523875</xdr:colOff>
      <xdr:row>149</xdr:row>
      <xdr:rowOff>104775</xdr:rowOff>
    </xdr:to>
    <xdr:sp macro="" textlink="">
      <xdr:nvSpPr>
        <xdr:cNvPr id="93" name="Rectangle 92">
          <a:extLst>
            <a:ext uri="{FF2B5EF4-FFF2-40B4-BE49-F238E27FC236}">
              <a16:creationId xmlns:a16="http://schemas.microsoft.com/office/drawing/2014/main" id="{00F40F25-7086-4689-8D77-336C18B3F741}"/>
            </a:ext>
          </a:extLst>
        </xdr:cNvPr>
        <xdr:cNvSpPr/>
      </xdr:nvSpPr>
      <xdr:spPr>
        <a:xfrm>
          <a:off x="2990850" y="2113597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Sante/Aleca</a:t>
          </a:r>
          <a:endParaRPr lang="en-US" sz="1100"/>
        </a:p>
      </xdr:txBody>
    </xdr:sp>
    <xdr:clientData/>
  </xdr:twoCellAnchor>
  <xdr:twoCellAnchor>
    <xdr:from>
      <xdr:col>4</xdr:col>
      <xdr:colOff>561975</xdr:colOff>
      <xdr:row>151</xdr:row>
      <xdr:rowOff>76200</xdr:rowOff>
    </xdr:from>
    <xdr:to>
      <xdr:col>9</xdr:col>
      <xdr:colOff>342900</xdr:colOff>
      <xdr:row>153</xdr:row>
      <xdr:rowOff>171450</xdr:rowOff>
    </xdr:to>
    <xdr:sp macro="" textlink="">
      <xdr:nvSpPr>
        <xdr:cNvPr id="94" name="Rectangle 93">
          <a:hlinkClick xmlns:r="http://schemas.openxmlformats.org/officeDocument/2006/relationships" r:id="rId2"/>
          <a:extLst>
            <a:ext uri="{FF2B5EF4-FFF2-40B4-BE49-F238E27FC236}">
              <a16:creationId xmlns:a16="http://schemas.microsoft.com/office/drawing/2014/main" id="{52B53CF9-D383-4EC7-9D30-B46AC48226FF}"/>
            </a:ext>
          </a:extLst>
        </xdr:cNvPr>
        <xdr:cNvSpPr/>
      </xdr:nvSpPr>
      <xdr:spPr>
        <a:xfrm>
          <a:off x="3000375" y="29479875"/>
          <a:ext cx="2828925" cy="476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https://www.evit.edu/services/events/evit-expo</a:t>
          </a:r>
          <a:endParaRPr lang="en-US" sz="1100"/>
        </a:p>
      </xdr:txBody>
    </xdr:sp>
    <xdr:clientData/>
  </xdr:twoCellAnchor>
  <xdr:twoCellAnchor>
    <xdr:from>
      <xdr:col>0</xdr:col>
      <xdr:colOff>95250</xdr:colOff>
      <xdr:row>158</xdr:row>
      <xdr:rowOff>95250</xdr:rowOff>
    </xdr:from>
    <xdr:to>
      <xdr:col>0</xdr:col>
      <xdr:colOff>438150</xdr:colOff>
      <xdr:row>160</xdr:row>
      <xdr:rowOff>28575</xdr:rowOff>
    </xdr:to>
    <xdr:sp macro="" textlink="">
      <xdr:nvSpPr>
        <xdr:cNvPr id="95" name="Star: 5 Points 94">
          <a:extLst>
            <a:ext uri="{FF2B5EF4-FFF2-40B4-BE49-F238E27FC236}">
              <a16:creationId xmlns:a16="http://schemas.microsoft.com/office/drawing/2014/main" id="{5634F440-F18D-4145-80DD-CF017305B951}"/>
            </a:ext>
          </a:extLst>
        </xdr:cNvPr>
        <xdr:cNvSpPr/>
      </xdr:nvSpPr>
      <xdr:spPr>
        <a:xfrm>
          <a:off x="95250" y="233648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158</xdr:row>
      <xdr:rowOff>114300</xdr:rowOff>
    </xdr:from>
    <xdr:to>
      <xdr:col>1</xdr:col>
      <xdr:colOff>247650</xdr:colOff>
      <xdr:row>160</xdr:row>
      <xdr:rowOff>47625</xdr:rowOff>
    </xdr:to>
    <xdr:sp macro="" textlink="">
      <xdr:nvSpPr>
        <xdr:cNvPr id="96" name="Star: 5 Points 95">
          <a:extLst>
            <a:ext uri="{FF2B5EF4-FFF2-40B4-BE49-F238E27FC236}">
              <a16:creationId xmlns:a16="http://schemas.microsoft.com/office/drawing/2014/main" id="{344E08E7-52EB-4D3B-8863-EDB5AA6D1179}"/>
            </a:ext>
          </a:extLst>
        </xdr:cNvPr>
        <xdr:cNvSpPr/>
      </xdr:nvSpPr>
      <xdr:spPr>
        <a:xfrm>
          <a:off x="514350" y="233838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158</xdr:row>
      <xdr:rowOff>114300</xdr:rowOff>
    </xdr:from>
    <xdr:to>
      <xdr:col>2</xdr:col>
      <xdr:colOff>76200</xdr:colOff>
      <xdr:row>160</xdr:row>
      <xdr:rowOff>47625</xdr:rowOff>
    </xdr:to>
    <xdr:sp macro="" textlink="">
      <xdr:nvSpPr>
        <xdr:cNvPr id="97" name="Star: 5 Points 96">
          <a:extLst>
            <a:ext uri="{FF2B5EF4-FFF2-40B4-BE49-F238E27FC236}">
              <a16:creationId xmlns:a16="http://schemas.microsoft.com/office/drawing/2014/main" id="{7D465A22-7CFC-4A72-ABAA-68C23F0839D7}"/>
            </a:ext>
          </a:extLst>
        </xdr:cNvPr>
        <xdr:cNvSpPr/>
      </xdr:nvSpPr>
      <xdr:spPr>
        <a:xfrm>
          <a:off x="952500" y="233838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158</xdr:row>
      <xdr:rowOff>114300</xdr:rowOff>
    </xdr:from>
    <xdr:to>
      <xdr:col>2</xdr:col>
      <xdr:colOff>523875</xdr:colOff>
      <xdr:row>160</xdr:row>
      <xdr:rowOff>47625</xdr:rowOff>
    </xdr:to>
    <xdr:sp macro="" textlink="">
      <xdr:nvSpPr>
        <xdr:cNvPr id="98" name="Star: 5 Points 97">
          <a:extLst>
            <a:ext uri="{FF2B5EF4-FFF2-40B4-BE49-F238E27FC236}">
              <a16:creationId xmlns:a16="http://schemas.microsoft.com/office/drawing/2014/main" id="{4BFC93A7-3DA6-4A62-9B9D-0D44553CA8C8}"/>
            </a:ext>
          </a:extLst>
        </xdr:cNvPr>
        <xdr:cNvSpPr/>
      </xdr:nvSpPr>
      <xdr:spPr>
        <a:xfrm>
          <a:off x="1400175" y="233838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158</xdr:row>
      <xdr:rowOff>123825</xdr:rowOff>
    </xdr:from>
    <xdr:to>
      <xdr:col>3</xdr:col>
      <xdr:colOff>342900</xdr:colOff>
      <xdr:row>160</xdr:row>
      <xdr:rowOff>57150</xdr:rowOff>
    </xdr:to>
    <xdr:sp macro="" textlink="">
      <xdr:nvSpPr>
        <xdr:cNvPr id="99" name="Star: 5 Points 98">
          <a:extLst>
            <a:ext uri="{FF2B5EF4-FFF2-40B4-BE49-F238E27FC236}">
              <a16:creationId xmlns:a16="http://schemas.microsoft.com/office/drawing/2014/main" id="{6DD0D341-8939-4AA6-B220-09708495ADED}"/>
            </a:ext>
          </a:extLst>
        </xdr:cNvPr>
        <xdr:cNvSpPr/>
      </xdr:nvSpPr>
      <xdr:spPr>
        <a:xfrm>
          <a:off x="1828800" y="233934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162</xdr:row>
      <xdr:rowOff>57151</xdr:rowOff>
    </xdr:from>
    <xdr:to>
      <xdr:col>4</xdr:col>
      <xdr:colOff>57150</xdr:colOff>
      <xdr:row>166</xdr:row>
      <xdr:rowOff>9526</xdr:rowOff>
    </xdr:to>
    <xdr:sp macro="" textlink="">
      <xdr:nvSpPr>
        <xdr:cNvPr id="100" name="Rectangle 99">
          <a:extLst>
            <a:ext uri="{FF2B5EF4-FFF2-40B4-BE49-F238E27FC236}">
              <a16:creationId xmlns:a16="http://schemas.microsoft.com/office/drawing/2014/main" id="{326D7FC0-D3C2-4DC4-8140-66F8D0B6EB97}"/>
            </a:ext>
          </a:extLst>
        </xdr:cNvPr>
        <xdr:cNvSpPr/>
      </xdr:nvSpPr>
      <xdr:spPr>
        <a:xfrm>
          <a:off x="85725" y="240982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168</xdr:row>
      <xdr:rowOff>76201</xdr:rowOff>
    </xdr:from>
    <xdr:to>
      <xdr:col>4</xdr:col>
      <xdr:colOff>57150</xdr:colOff>
      <xdr:row>172</xdr:row>
      <xdr:rowOff>38101</xdr:rowOff>
    </xdr:to>
    <xdr:sp macro="" textlink="">
      <xdr:nvSpPr>
        <xdr:cNvPr id="101" name="Rectangle 100">
          <a:extLst>
            <a:ext uri="{FF2B5EF4-FFF2-40B4-BE49-F238E27FC236}">
              <a16:creationId xmlns:a16="http://schemas.microsoft.com/office/drawing/2014/main" id="{386A2F36-0A11-4062-9D60-FAFF1A665263}"/>
            </a:ext>
          </a:extLst>
        </xdr:cNvPr>
        <xdr:cNvSpPr/>
      </xdr:nvSpPr>
      <xdr:spPr>
        <a:xfrm>
          <a:off x="85725" y="252793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174</xdr:row>
      <xdr:rowOff>123825</xdr:rowOff>
    </xdr:from>
    <xdr:to>
      <xdr:col>4</xdr:col>
      <xdr:colOff>76200</xdr:colOff>
      <xdr:row>183</xdr:row>
      <xdr:rowOff>9525</xdr:rowOff>
    </xdr:to>
    <xdr:sp macro="" textlink="">
      <xdr:nvSpPr>
        <xdr:cNvPr id="102" name="Rectangle 101">
          <a:extLst>
            <a:ext uri="{FF2B5EF4-FFF2-40B4-BE49-F238E27FC236}">
              <a16:creationId xmlns:a16="http://schemas.microsoft.com/office/drawing/2014/main" id="{3BC77C07-5CB5-4523-85CD-0EA328D04239}"/>
            </a:ext>
          </a:extLst>
        </xdr:cNvPr>
        <xdr:cNvSpPr/>
      </xdr:nvSpPr>
      <xdr:spPr>
        <a:xfrm>
          <a:off x="104775" y="26479500"/>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162</xdr:row>
      <xdr:rowOff>38100</xdr:rowOff>
    </xdr:from>
    <xdr:to>
      <xdr:col>8</xdr:col>
      <xdr:colOff>561975</xdr:colOff>
      <xdr:row>164</xdr:row>
      <xdr:rowOff>161925</xdr:rowOff>
    </xdr:to>
    <xdr:sp macro="" textlink="">
      <xdr:nvSpPr>
        <xdr:cNvPr id="103" name="Rectangle 102">
          <a:extLst>
            <a:ext uri="{FF2B5EF4-FFF2-40B4-BE49-F238E27FC236}">
              <a16:creationId xmlns:a16="http://schemas.microsoft.com/office/drawing/2014/main" id="{FA1E5D27-E539-4BC8-9813-57E317DCBE65}"/>
            </a:ext>
          </a:extLst>
        </xdr:cNvPr>
        <xdr:cNvSpPr/>
      </xdr:nvSpPr>
      <xdr:spPr>
        <a:xfrm>
          <a:off x="3028950" y="24079200"/>
          <a:ext cx="24098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168</xdr:row>
      <xdr:rowOff>76201</xdr:rowOff>
    </xdr:from>
    <xdr:to>
      <xdr:col>8</xdr:col>
      <xdr:colOff>561975</xdr:colOff>
      <xdr:row>172</xdr:row>
      <xdr:rowOff>38101</xdr:rowOff>
    </xdr:to>
    <xdr:sp macro="" textlink="">
      <xdr:nvSpPr>
        <xdr:cNvPr id="104" name="Rectangle 103">
          <a:extLst>
            <a:ext uri="{FF2B5EF4-FFF2-40B4-BE49-F238E27FC236}">
              <a16:creationId xmlns:a16="http://schemas.microsoft.com/office/drawing/2014/main" id="{30C914E6-D196-4E8F-AD98-741FB318652F}"/>
            </a:ext>
          </a:extLst>
        </xdr:cNvPr>
        <xdr:cNvSpPr/>
      </xdr:nvSpPr>
      <xdr:spPr>
        <a:xfrm>
          <a:off x="3028950" y="25279351"/>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174</xdr:row>
      <xdr:rowOff>104775</xdr:rowOff>
    </xdr:from>
    <xdr:to>
      <xdr:col>8</xdr:col>
      <xdr:colOff>561975</xdr:colOff>
      <xdr:row>176</xdr:row>
      <xdr:rowOff>57150</xdr:rowOff>
    </xdr:to>
    <xdr:sp macro="" textlink="">
      <xdr:nvSpPr>
        <xdr:cNvPr id="105" name="Rectangle 104">
          <a:extLst>
            <a:ext uri="{FF2B5EF4-FFF2-40B4-BE49-F238E27FC236}">
              <a16:creationId xmlns:a16="http://schemas.microsoft.com/office/drawing/2014/main" id="{B8FB9B5D-C808-4AFB-82EC-8C48221DC2EE}"/>
            </a:ext>
          </a:extLst>
        </xdr:cNvPr>
        <xdr:cNvSpPr/>
      </xdr:nvSpPr>
      <xdr:spPr>
        <a:xfrm>
          <a:off x="3028950" y="26460450"/>
          <a:ext cx="2409825"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Melissa McCoy</a:t>
          </a:r>
        </a:p>
      </xdr:txBody>
    </xdr:sp>
    <xdr:clientData/>
  </xdr:twoCellAnchor>
  <xdr:twoCellAnchor>
    <xdr:from>
      <xdr:col>4</xdr:col>
      <xdr:colOff>581026</xdr:colOff>
      <xdr:row>178</xdr:row>
      <xdr:rowOff>104775</xdr:rowOff>
    </xdr:from>
    <xdr:to>
      <xdr:col>5</xdr:col>
      <xdr:colOff>276226</xdr:colOff>
      <xdr:row>180</xdr:row>
      <xdr:rowOff>57150</xdr:rowOff>
    </xdr:to>
    <xdr:sp macro="" textlink="">
      <xdr:nvSpPr>
        <xdr:cNvPr id="106" name="Rectangle 105">
          <a:extLst>
            <a:ext uri="{FF2B5EF4-FFF2-40B4-BE49-F238E27FC236}">
              <a16:creationId xmlns:a16="http://schemas.microsoft.com/office/drawing/2014/main" id="{05F87626-4D85-4CAD-998A-B598A016A9CD}"/>
            </a:ext>
          </a:extLst>
        </xdr:cNvPr>
        <xdr:cNvSpPr/>
      </xdr:nvSpPr>
      <xdr:spPr>
        <a:xfrm>
          <a:off x="3019426" y="27222450"/>
          <a:ext cx="304800"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xdr:txBody>
    </xdr:sp>
    <xdr:clientData/>
  </xdr:twoCellAnchor>
  <xdr:twoCellAnchor>
    <xdr:from>
      <xdr:col>9</xdr:col>
      <xdr:colOff>428625</xdr:colOff>
      <xdr:row>162</xdr:row>
      <xdr:rowOff>19049</xdr:rowOff>
    </xdr:from>
    <xdr:to>
      <xdr:col>13</xdr:col>
      <xdr:colOff>400050</xdr:colOff>
      <xdr:row>191</xdr:row>
      <xdr:rowOff>142875</xdr:rowOff>
    </xdr:to>
    <xdr:sp macro="" textlink="">
      <xdr:nvSpPr>
        <xdr:cNvPr id="107" name="Rectangle 106">
          <a:extLst>
            <a:ext uri="{FF2B5EF4-FFF2-40B4-BE49-F238E27FC236}">
              <a16:creationId xmlns:a16="http://schemas.microsoft.com/office/drawing/2014/main" id="{C1B16786-704F-458A-A355-979FAB044067}"/>
            </a:ext>
          </a:extLst>
        </xdr:cNvPr>
        <xdr:cNvSpPr/>
      </xdr:nvSpPr>
      <xdr:spPr>
        <a:xfrm>
          <a:off x="5915025" y="32118299"/>
          <a:ext cx="2409825" cy="56769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lt1"/>
              </a:solidFill>
              <a:effectLst/>
              <a:latin typeface="+mn-lt"/>
              <a:ea typeface="+mn-ea"/>
              <a:cs typeface="+mn-cs"/>
            </a:rPr>
            <a:t>Purpose</a:t>
          </a:r>
          <a:r>
            <a:rPr lang="en-US" sz="1100" b="0" i="0">
              <a:solidFill>
                <a:schemeClr val="lt1"/>
              </a:solidFill>
              <a:effectLst/>
              <a:latin typeface="+mn-lt"/>
              <a:ea typeface="+mn-ea"/>
              <a:cs typeface="+mn-cs"/>
            </a:rPr>
            <a:t>: Recruiting </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East Valley Institute of Technology (EVIT). Mesa, AZ</a:t>
          </a:r>
        </a:p>
        <a:p>
          <a:pPr algn="l"/>
          <a:endParaRPr lang="en-US" sz="1100" b="1"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a:t>
          </a:r>
          <a:r>
            <a:rPr lang="en-US" sz="1100" b="0" i="0" baseline="0">
              <a:solidFill>
                <a:schemeClr val="lt1"/>
              </a:solidFill>
              <a:effectLst/>
              <a:latin typeface="+mn-lt"/>
              <a:ea typeface="+mn-ea"/>
              <a:cs typeface="+mn-cs"/>
            </a:rPr>
            <a:t> </a:t>
          </a:r>
          <a:r>
            <a:rPr lang="en-US" sz="1100" b="0" i="0">
              <a:solidFill>
                <a:schemeClr val="lt1"/>
              </a:solidFill>
              <a:effectLst/>
              <a:latin typeface="+mn-lt"/>
              <a:ea typeface="+mn-ea"/>
              <a:cs typeface="+mn-cs"/>
            </a:rPr>
            <a:t>I would like to invite you to attend EVIT’s 2025 Spring Career Fair at EVIT Power Campus on April 4th and/or at EVIT Main Campus on April 11th. Career fairs are an opportunity for our current students who are preparing to enter the workforce upon completion, to learn more about the industries and careers that interest them. It is an opportunity for you as a community member, who were once in their shoes, to help them begin the exciting process of discovering their talents and passions. We couldn't host events like this one without industry partners like you, and we would be thrilled to have Sante North Scottsdale represented this year. Please refer to our web page for a list of programs at each campus to determine which campus (or both) would be the best fit. You can help make a difference in the community — and in the lives of EVIT students by providing work-based learning opportunities, job openings, or simply answering questions about your profession.</a:t>
          </a:r>
          <a:endParaRPr lang="en-US" sz="1100"/>
        </a:p>
      </xdr:txBody>
    </xdr:sp>
    <xdr:clientData/>
  </xdr:twoCellAnchor>
  <xdr:twoCellAnchor>
    <xdr:from>
      <xdr:col>0</xdr:col>
      <xdr:colOff>123825</xdr:colOff>
      <xdr:row>185</xdr:row>
      <xdr:rowOff>85725</xdr:rowOff>
    </xdr:from>
    <xdr:to>
      <xdr:col>4</xdr:col>
      <xdr:colOff>95250</xdr:colOff>
      <xdr:row>193</xdr:row>
      <xdr:rowOff>38100</xdr:rowOff>
    </xdr:to>
    <xdr:sp macro="" textlink="">
      <xdr:nvSpPr>
        <xdr:cNvPr id="108" name="Rectangle 107">
          <a:extLst>
            <a:ext uri="{FF2B5EF4-FFF2-40B4-BE49-F238E27FC236}">
              <a16:creationId xmlns:a16="http://schemas.microsoft.com/office/drawing/2014/main" id="{7AE23313-EA5F-494A-8C8E-ACCE212CBA8F}"/>
            </a:ext>
          </a:extLst>
        </xdr:cNvPr>
        <xdr:cNvSpPr/>
      </xdr:nvSpPr>
      <xdr:spPr>
        <a:xfrm>
          <a:off x="123825" y="28536900"/>
          <a:ext cx="2409825" cy="1476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Total Budget $285: </a:t>
          </a:r>
        </a:p>
        <a:p>
          <a:pPr algn="l"/>
          <a:r>
            <a:rPr lang="en-US" sz="1100" b="0" i="0">
              <a:solidFill>
                <a:schemeClr val="lt1"/>
              </a:solidFill>
              <a:effectLst/>
              <a:latin typeface="+mn-lt"/>
              <a:ea typeface="+mn-ea"/>
              <a:cs typeface="+mn-cs"/>
            </a:rPr>
            <a:t>Gift Basket $100, </a:t>
          </a:r>
        </a:p>
        <a:p>
          <a:pPr algn="l"/>
          <a:r>
            <a:rPr lang="en-US" sz="1100" b="0" i="0">
              <a:solidFill>
                <a:schemeClr val="lt1"/>
              </a:solidFill>
              <a:effectLst/>
              <a:latin typeface="+mn-lt"/>
              <a:ea typeface="+mn-ea"/>
              <a:cs typeface="+mn-cs"/>
            </a:rPr>
            <a:t>SWAG $50, </a:t>
          </a:r>
        </a:p>
        <a:p>
          <a:pPr algn="l"/>
          <a:r>
            <a:rPr lang="en-US" sz="1100" b="0" i="0">
              <a:solidFill>
                <a:schemeClr val="lt1"/>
              </a:solidFill>
              <a:effectLst/>
              <a:latin typeface="+mn-lt"/>
              <a:ea typeface="+mn-ea"/>
              <a:cs typeface="+mn-cs"/>
            </a:rPr>
            <a:t>Candy $20, </a:t>
          </a:r>
        </a:p>
        <a:p>
          <a:pPr algn="l"/>
          <a:r>
            <a:rPr lang="en-US" sz="1100" b="0" i="0">
              <a:solidFill>
                <a:schemeClr val="lt1"/>
              </a:solidFill>
              <a:effectLst/>
              <a:latin typeface="+mn-lt"/>
              <a:ea typeface="+mn-ea"/>
              <a:cs typeface="+mn-cs"/>
            </a:rPr>
            <a:t>Tablecloth Cleaning $15, </a:t>
          </a:r>
        </a:p>
        <a:p>
          <a:pPr algn="l"/>
          <a:r>
            <a:rPr lang="en-US" sz="1100" b="0" i="0">
              <a:solidFill>
                <a:schemeClr val="lt1"/>
              </a:solidFill>
              <a:effectLst/>
              <a:latin typeface="+mn-lt"/>
              <a:ea typeface="+mn-ea"/>
              <a:cs typeface="+mn-cs"/>
            </a:rPr>
            <a:t>Mileage $100 (? 2 people)</a:t>
          </a:r>
          <a:endParaRPr lang="en-US" sz="1100"/>
        </a:p>
      </xdr:txBody>
    </xdr:sp>
    <xdr:clientData/>
  </xdr:twoCellAnchor>
  <xdr:twoCellAnchor>
    <xdr:from>
      <xdr:col>4</xdr:col>
      <xdr:colOff>581025</xdr:colOff>
      <xdr:row>182</xdr:row>
      <xdr:rowOff>95250</xdr:rowOff>
    </xdr:from>
    <xdr:to>
      <xdr:col>9</xdr:col>
      <xdr:colOff>266700</xdr:colOff>
      <xdr:row>184</xdr:row>
      <xdr:rowOff>152400</xdr:rowOff>
    </xdr:to>
    <xdr:sp macro="" textlink="">
      <xdr:nvSpPr>
        <xdr:cNvPr id="109" name="Rectangle 108">
          <a:extLst>
            <a:ext uri="{FF2B5EF4-FFF2-40B4-BE49-F238E27FC236}">
              <a16:creationId xmlns:a16="http://schemas.microsoft.com/office/drawing/2014/main" id="{BD74DE3E-D90C-4789-9243-E132405271E3}"/>
            </a:ext>
          </a:extLst>
        </xdr:cNvPr>
        <xdr:cNvSpPr/>
      </xdr:nvSpPr>
      <xdr:spPr>
        <a:xfrm>
          <a:off x="3019425" y="27974925"/>
          <a:ext cx="2733675" cy="4381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Graduating Students and current Students in Nursing and PT Tech programs</a:t>
          </a:r>
          <a:endParaRPr lang="en-US" sz="1100"/>
        </a:p>
      </xdr:txBody>
    </xdr:sp>
    <xdr:clientData/>
  </xdr:twoCellAnchor>
  <xdr:twoCellAnchor>
    <xdr:from>
      <xdr:col>4</xdr:col>
      <xdr:colOff>552450</xdr:colOff>
      <xdr:row>186</xdr:row>
      <xdr:rowOff>133350</xdr:rowOff>
    </xdr:from>
    <xdr:to>
      <xdr:col>8</xdr:col>
      <xdr:colOff>523875</xdr:colOff>
      <xdr:row>188</xdr:row>
      <xdr:rowOff>104775</xdr:rowOff>
    </xdr:to>
    <xdr:sp macro="" textlink="">
      <xdr:nvSpPr>
        <xdr:cNvPr id="110" name="Rectangle 109">
          <a:extLst>
            <a:ext uri="{FF2B5EF4-FFF2-40B4-BE49-F238E27FC236}">
              <a16:creationId xmlns:a16="http://schemas.microsoft.com/office/drawing/2014/main" id="{FBF9A50E-B8D2-4FCA-B789-A0362332A566}"/>
            </a:ext>
          </a:extLst>
        </xdr:cNvPr>
        <xdr:cNvSpPr/>
      </xdr:nvSpPr>
      <xdr:spPr>
        <a:xfrm>
          <a:off x="2990850" y="28775025"/>
          <a:ext cx="2409825" cy="352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Sante/Aleca</a:t>
          </a:r>
          <a:endParaRPr lang="en-US" sz="1100"/>
        </a:p>
      </xdr:txBody>
    </xdr:sp>
    <xdr:clientData/>
  </xdr:twoCellAnchor>
  <xdr:twoCellAnchor>
    <xdr:from>
      <xdr:col>4</xdr:col>
      <xdr:colOff>561975</xdr:colOff>
      <xdr:row>190</xdr:row>
      <xdr:rowOff>76200</xdr:rowOff>
    </xdr:from>
    <xdr:to>
      <xdr:col>9</xdr:col>
      <xdr:colOff>342900</xdr:colOff>
      <xdr:row>192</xdr:row>
      <xdr:rowOff>171450</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C4090916-8A52-461A-B974-C43260C77EF9}"/>
            </a:ext>
          </a:extLst>
        </xdr:cNvPr>
        <xdr:cNvSpPr/>
      </xdr:nvSpPr>
      <xdr:spPr>
        <a:xfrm>
          <a:off x="3000375" y="29479875"/>
          <a:ext cx="2828925" cy="476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https://www.evit.edu/services/events/evit-expo</a:t>
          </a:r>
          <a:endParaRPr lang="en-US" sz="1100"/>
        </a:p>
      </xdr:txBody>
    </xdr:sp>
    <xdr:clientData/>
  </xdr:twoCellAnchor>
  <xdr:twoCellAnchor>
    <xdr:from>
      <xdr:col>0</xdr:col>
      <xdr:colOff>685801</xdr:colOff>
      <xdr:row>0</xdr:row>
      <xdr:rowOff>66675</xdr:rowOff>
    </xdr:from>
    <xdr:to>
      <xdr:col>0</xdr:col>
      <xdr:colOff>1085851</xdr:colOff>
      <xdr:row>0</xdr:row>
      <xdr:rowOff>342900</xdr:rowOff>
    </xdr:to>
    <xdr:sp macro="" textlink="">
      <xdr:nvSpPr>
        <xdr:cNvPr id="45" name="Rectangle: Rounded Corners 44">
          <a:hlinkClick xmlns:r="http://schemas.openxmlformats.org/officeDocument/2006/relationships" r:id="rId3"/>
          <a:extLst>
            <a:ext uri="{FF2B5EF4-FFF2-40B4-BE49-F238E27FC236}">
              <a16:creationId xmlns:a16="http://schemas.microsoft.com/office/drawing/2014/main" id="{BF105D63-D9E0-4205-A935-A2C2FDFDB87B}"/>
            </a:ext>
          </a:extLst>
        </xdr:cNvPr>
        <xdr:cNvSpPr/>
      </xdr:nvSpPr>
      <xdr:spPr>
        <a:xfrm>
          <a:off x="609601" y="66675"/>
          <a:ext cx="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1123950</xdr:colOff>
      <xdr:row>0</xdr:row>
      <xdr:rowOff>76200</xdr:rowOff>
    </xdr:from>
    <xdr:to>
      <xdr:col>0</xdr:col>
      <xdr:colOff>1552575</xdr:colOff>
      <xdr:row>0</xdr:row>
      <xdr:rowOff>352425</xdr:rowOff>
    </xdr:to>
    <xdr:sp macro="" textlink="">
      <xdr:nvSpPr>
        <xdr:cNvPr id="46" name="Rectangle: Rounded Corners 45">
          <a:hlinkClick xmlns:r="http://schemas.openxmlformats.org/officeDocument/2006/relationships" r:id="rId4"/>
          <a:extLst>
            <a:ext uri="{FF2B5EF4-FFF2-40B4-BE49-F238E27FC236}">
              <a16:creationId xmlns:a16="http://schemas.microsoft.com/office/drawing/2014/main" id="{B9725C1D-E0B3-4626-80C6-7BFEFAFE2E14}"/>
            </a:ext>
          </a:extLst>
        </xdr:cNvPr>
        <xdr:cNvSpPr/>
      </xdr:nvSpPr>
      <xdr:spPr>
        <a:xfrm>
          <a:off x="609600" y="76200"/>
          <a:ext cx="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1</xdr:col>
      <xdr:colOff>742951</xdr:colOff>
      <xdr:row>0</xdr:row>
      <xdr:rowOff>95250</xdr:rowOff>
    </xdr:from>
    <xdr:to>
      <xdr:col>1</xdr:col>
      <xdr:colOff>1181101</xdr:colOff>
      <xdr:row>0</xdr:row>
      <xdr:rowOff>371475</xdr:rowOff>
    </xdr:to>
    <xdr:sp macro="" textlink="">
      <xdr:nvSpPr>
        <xdr:cNvPr id="47" name="Rectangle: Rounded Corners 46">
          <a:hlinkClick xmlns:r="http://schemas.openxmlformats.org/officeDocument/2006/relationships" r:id="rId5"/>
          <a:extLst>
            <a:ext uri="{FF2B5EF4-FFF2-40B4-BE49-F238E27FC236}">
              <a16:creationId xmlns:a16="http://schemas.microsoft.com/office/drawing/2014/main" id="{E464B050-2317-4BDD-BD38-075C515028F0}"/>
            </a:ext>
          </a:extLst>
        </xdr:cNvPr>
        <xdr:cNvSpPr/>
      </xdr:nvSpPr>
      <xdr:spPr>
        <a:xfrm>
          <a:off x="1219201" y="95250"/>
          <a:ext cx="0" cy="25717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1</xdr:col>
      <xdr:colOff>1209676</xdr:colOff>
      <xdr:row>0</xdr:row>
      <xdr:rowOff>104775</xdr:rowOff>
    </xdr:from>
    <xdr:to>
      <xdr:col>1</xdr:col>
      <xdr:colOff>1609726</xdr:colOff>
      <xdr:row>0</xdr:row>
      <xdr:rowOff>381000</xdr:rowOff>
    </xdr:to>
    <xdr:sp macro="" textlink="">
      <xdr:nvSpPr>
        <xdr:cNvPr id="48" name="Rectangle: Rounded Corners 47">
          <a:hlinkClick xmlns:r="http://schemas.openxmlformats.org/officeDocument/2006/relationships" r:id="rId6"/>
          <a:extLst>
            <a:ext uri="{FF2B5EF4-FFF2-40B4-BE49-F238E27FC236}">
              <a16:creationId xmlns:a16="http://schemas.microsoft.com/office/drawing/2014/main" id="{9D99A006-6004-478E-8646-A644B808B477}"/>
            </a:ext>
          </a:extLst>
        </xdr:cNvPr>
        <xdr:cNvSpPr/>
      </xdr:nvSpPr>
      <xdr:spPr>
        <a:xfrm>
          <a:off x="1219201" y="104775"/>
          <a:ext cx="0" cy="2476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2</xdr:col>
      <xdr:colOff>809624</xdr:colOff>
      <xdr:row>0</xdr:row>
      <xdr:rowOff>85725</xdr:rowOff>
    </xdr:from>
    <xdr:to>
      <xdr:col>2</xdr:col>
      <xdr:colOff>1238249</xdr:colOff>
      <xdr:row>0</xdr:row>
      <xdr:rowOff>361950</xdr:rowOff>
    </xdr:to>
    <xdr:sp macro="" textlink="">
      <xdr:nvSpPr>
        <xdr:cNvPr id="49" name="Rectangle: Rounded Corners 48">
          <a:hlinkClick xmlns:r="http://schemas.openxmlformats.org/officeDocument/2006/relationships" r:id="rId7"/>
          <a:extLst>
            <a:ext uri="{FF2B5EF4-FFF2-40B4-BE49-F238E27FC236}">
              <a16:creationId xmlns:a16="http://schemas.microsoft.com/office/drawing/2014/main" id="{FC198BE8-1477-4413-826C-210B6B4FBF07}"/>
            </a:ext>
          </a:extLst>
        </xdr:cNvPr>
        <xdr:cNvSpPr/>
      </xdr:nvSpPr>
      <xdr:spPr>
        <a:xfrm>
          <a:off x="1828799" y="85725"/>
          <a:ext cx="0" cy="2667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1276350</xdr:colOff>
      <xdr:row>0</xdr:row>
      <xdr:rowOff>95250</xdr:rowOff>
    </xdr:from>
    <xdr:to>
      <xdr:col>2</xdr:col>
      <xdr:colOff>1704975</xdr:colOff>
      <xdr:row>0</xdr:row>
      <xdr:rowOff>381000</xdr:rowOff>
    </xdr:to>
    <xdr:sp macro="" textlink="">
      <xdr:nvSpPr>
        <xdr:cNvPr id="50" name="Rectangle: Rounded Corners 49">
          <a:hlinkClick xmlns:r="http://schemas.openxmlformats.org/officeDocument/2006/relationships" r:id="rId8"/>
          <a:extLst>
            <a:ext uri="{FF2B5EF4-FFF2-40B4-BE49-F238E27FC236}">
              <a16:creationId xmlns:a16="http://schemas.microsoft.com/office/drawing/2014/main" id="{DE79F2B6-D1FE-460B-A144-7271C587A4BC}"/>
            </a:ext>
          </a:extLst>
        </xdr:cNvPr>
        <xdr:cNvSpPr/>
      </xdr:nvSpPr>
      <xdr:spPr>
        <a:xfrm>
          <a:off x="1828800" y="95250"/>
          <a:ext cx="0" cy="25717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3</xdr:col>
      <xdr:colOff>962025</xdr:colOff>
      <xdr:row>0</xdr:row>
      <xdr:rowOff>95250</xdr:rowOff>
    </xdr:from>
    <xdr:to>
      <xdr:col>3</xdr:col>
      <xdr:colOff>1600200</xdr:colOff>
      <xdr:row>0</xdr:row>
      <xdr:rowOff>371475</xdr:rowOff>
    </xdr:to>
    <xdr:sp macro="" textlink="">
      <xdr:nvSpPr>
        <xdr:cNvPr id="51" name="Rectangle: Rounded Corners 50">
          <a:hlinkClick xmlns:r="http://schemas.openxmlformats.org/officeDocument/2006/relationships" r:id="rId9"/>
          <a:extLst>
            <a:ext uri="{FF2B5EF4-FFF2-40B4-BE49-F238E27FC236}">
              <a16:creationId xmlns:a16="http://schemas.microsoft.com/office/drawing/2014/main" id="{5BB0D98B-096A-423D-90BD-2241E16A0EAF}"/>
            </a:ext>
          </a:extLst>
        </xdr:cNvPr>
        <xdr:cNvSpPr/>
      </xdr:nvSpPr>
      <xdr:spPr>
        <a:xfrm>
          <a:off x="2438400" y="95250"/>
          <a:ext cx="0" cy="25717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4</xdr:col>
      <xdr:colOff>1095375</xdr:colOff>
      <xdr:row>0</xdr:row>
      <xdr:rowOff>104775</xdr:rowOff>
    </xdr:from>
    <xdr:to>
      <xdr:col>4</xdr:col>
      <xdr:colOff>1685925</xdr:colOff>
      <xdr:row>0</xdr:row>
      <xdr:rowOff>381000</xdr:rowOff>
    </xdr:to>
    <xdr:sp macro="" textlink="">
      <xdr:nvSpPr>
        <xdr:cNvPr id="52" name="Rectangle: Rounded Corners 51">
          <a:hlinkClick xmlns:r="http://schemas.openxmlformats.org/officeDocument/2006/relationships" r:id="rId10"/>
          <a:extLst>
            <a:ext uri="{FF2B5EF4-FFF2-40B4-BE49-F238E27FC236}">
              <a16:creationId xmlns:a16="http://schemas.microsoft.com/office/drawing/2014/main" id="{7112B84C-716D-4D84-8CD5-7823BA5EC855}"/>
            </a:ext>
          </a:extLst>
        </xdr:cNvPr>
        <xdr:cNvSpPr/>
      </xdr:nvSpPr>
      <xdr:spPr>
        <a:xfrm>
          <a:off x="3048000" y="104775"/>
          <a:ext cx="0" cy="247650"/>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0</xdr:col>
      <xdr:colOff>590550</xdr:colOff>
      <xdr:row>0</xdr:row>
      <xdr:rowOff>0</xdr:rowOff>
    </xdr:from>
    <xdr:to>
      <xdr:col>1</xdr:col>
      <xdr:colOff>381000</xdr:colOff>
      <xdr:row>0</xdr:row>
      <xdr:rowOff>276225</xdr:rowOff>
    </xdr:to>
    <xdr:sp macro="" textlink="">
      <xdr:nvSpPr>
        <xdr:cNvPr id="53" name="Rectangle: Rounded Corners 52">
          <a:hlinkClick xmlns:r="http://schemas.openxmlformats.org/officeDocument/2006/relationships" r:id="rId3"/>
          <a:extLst>
            <a:ext uri="{FF2B5EF4-FFF2-40B4-BE49-F238E27FC236}">
              <a16:creationId xmlns:a16="http://schemas.microsoft.com/office/drawing/2014/main" id="{8108B844-769F-4659-B889-ED54CAA4C836}"/>
            </a:ext>
          </a:extLst>
        </xdr:cNvPr>
        <xdr:cNvSpPr/>
      </xdr:nvSpPr>
      <xdr:spPr>
        <a:xfrm>
          <a:off x="590550" y="0"/>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0</xdr:colOff>
      <xdr:row>0</xdr:row>
      <xdr:rowOff>0</xdr:rowOff>
    </xdr:from>
    <xdr:to>
      <xdr:col>0</xdr:col>
      <xdr:colOff>552449</xdr:colOff>
      <xdr:row>0</xdr:row>
      <xdr:rowOff>276225</xdr:rowOff>
    </xdr:to>
    <xdr:sp macro="" textlink="">
      <xdr:nvSpPr>
        <xdr:cNvPr id="54" name="Rectangle: Rounded Corners 53">
          <a:hlinkClick xmlns:r="http://schemas.openxmlformats.org/officeDocument/2006/relationships" r:id="rId11"/>
          <a:extLst>
            <a:ext uri="{FF2B5EF4-FFF2-40B4-BE49-F238E27FC236}">
              <a16:creationId xmlns:a16="http://schemas.microsoft.com/office/drawing/2014/main" id="{563FC7F0-CAB5-4EC4-B35C-51032A3F51D0}"/>
            </a:ext>
          </a:extLst>
        </xdr:cNvPr>
        <xdr:cNvSpPr/>
      </xdr:nvSpPr>
      <xdr:spPr>
        <a:xfrm>
          <a:off x="0" y="0"/>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1</xdr:col>
      <xdr:colOff>419099</xdr:colOff>
      <xdr:row>0</xdr:row>
      <xdr:rowOff>9525</xdr:rowOff>
    </xdr:from>
    <xdr:to>
      <xdr:col>2</xdr:col>
      <xdr:colOff>238124</xdr:colOff>
      <xdr:row>0</xdr:row>
      <xdr:rowOff>285750</xdr:rowOff>
    </xdr:to>
    <xdr:sp macro="" textlink="">
      <xdr:nvSpPr>
        <xdr:cNvPr id="67" name="Rectangle: Rounded Corners 66">
          <a:hlinkClick xmlns:r="http://schemas.openxmlformats.org/officeDocument/2006/relationships" r:id="rId4"/>
          <a:extLst>
            <a:ext uri="{FF2B5EF4-FFF2-40B4-BE49-F238E27FC236}">
              <a16:creationId xmlns:a16="http://schemas.microsoft.com/office/drawing/2014/main" id="{EFCFFD6F-2C05-4C45-BB5F-6B8A0045BCAD}"/>
            </a:ext>
          </a:extLst>
        </xdr:cNvPr>
        <xdr:cNvSpPr/>
      </xdr:nvSpPr>
      <xdr:spPr>
        <a:xfrm>
          <a:off x="1028699" y="95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2</xdr:col>
      <xdr:colOff>285749</xdr:colOff>
      <xdr:row>0</xdr:row>
      <xdr:rowOff>9525</xdr:rowOff>
    </xdr:from>
    <xdr:to>
      <xdr:col>3</xdr:col>
      <xdr:colOff>123824</xdr:colOff>
      <xdr:row>0</xdr:row>
      <xdr:rowOff>285750</xdr:rowOff>
    </xdr:to>
    <xdr:sp macro="" textlink="">
      <xdr:nvSpPr>
        <xdr:cNvPr id="68" name="Rectangle: Rounded Corners 67">
          <a:hlinkClick xmlns:r="http://schemas.openxmlformats.org/officeDocument/2006/relationships" r:id="rId12"/>
          <a:extLst>
            <a:ext uri="{FF2B5EF4-FFF2-40B4-BE49-F238E27FC236}">
              <a16:creationId xmlns:a16="http://schemas.microsoft.com/office/drawing/2014/main" id="{47949879-08AF-4DD8-8C20-D4F60BF119B5}"/>
            </a:ext>
          </a:extLst>
        </xdr:cNvPr>
        <xdr:cNvSpPr/>
      </xdr:nvSpPr>
      <xdr:spPr>
        <a:xfrm>
          <a:off x="1504949" y="9525"/>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3</xdr:col>
      <xdr:colOff>171449</xdr:colOff>
      <xdr:row>0</xdr:row>
      <xdr:rowOff>19050</xdr:rowOff>
    </xdr:from>
    <xdr:to>
      <xdr:col>3</xdr:col>
      <xdr:colOff>581024</xdr:colOff>
      <xdr:row>0</xdr:row>
      <xdr:rowOff>295275</xdr:rowOff>
    </xdr:to>
    <xdr:sp macro="" textlink="">
      <xdr:nvSpPr>
        <xdr:cNvPr id="69" name="Rectangle: Rounded Corners 68">
          <a:hlinkClick xmlns:r="http://schemas.openxmlformats.org/officeDocument/2006/relationships" r:id="rId13"/>
          <a:extLst>
            <a:ext uri="{FF2B5EF4-FFF2-40B4-BE49-F238E27FC236}">
              <a16:creationId xmlns:a16="http://schemas.microsoft.com/office/drawing/2014/main" id="{6552CC71-92C9-4C9C-9AD4-77C5A58DA5B5}"/>
            </a:ext>
          </a:extLst>
        </xdr:cNvPr>
        <xdr:cNvSpPr/>
      </xdr:nvSpPr>
      <xdr:spPr>
        <a:xfrm>
          <a:off x="2000249" y="19050"/>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4</xdr:col>
      <xdr:colOff>19050</xdr:colOff>
      <xdr:row>0</xdr:row>
      <xdr:rowOff>28575</xdr:rowOff>
    </xdr:from>
    <xdr:to>
      <xdr:col>4</xdr:col>
      <xdr:colOff>457200</xdr:colOff>
      <xdr:row>0</xdr:row>
      <xdr:rowOff>304800</xdr:rowOff>
    </xdr:to>
    <xdr:sp macro="" textlink="">
      <xdr:nvSpPr>
        <xdr:cNvPr id="70" name="Rectangle: Rounded Corners 69">
          <a:hlinkClick xmlns:r="http://schemas.openxmlformats.org/officeDocument/2006/relationships" r:id="rId5"/>
          <a:extLst>
            <a:ext uri="{FF2B5EF4-FFF2-40B4-BE49-F238E27FC236}">
              <a16:creationId xmlns:a16="http://schemas.microsoft.com/office/drawing/2014/main" id="{13E3C2CB-FF17-4F2C-BE2D-37A7A8623DBD}"/>
            </a:ext>
          </a:extLst>
        </xdr:cNvPr>
        <xdr:cNvSpPr/>
      </xdr:nvSpPr>
      <xdr:spPr>
        <a:xfrm>
          <a:off x="2457450" y="28575"/>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4</xdr:col>
      <xdr:colOff>485775</xdr:colOff>
      <xdr:row>0</xdr:row>
      <xdr:rowOff>38100</xdr:rowOff>
    </xdr:from>
    <xdr:to>
      <xdr:col>5</xdr:col>
      <xdr:colOff>276225</xdr:colOff>
      <xdr:row>0</xdr:row>
      <xdr:rowOff>314325</xdr:rowOff>
    </xdr:to>
    <xdr:sp macro="" textlink="">
      <xdr:nvSpPr>
        <xdr:cNvPr id="71" name="Rectangle: Rounded Corners 70">
          <a:hlinkClick xmlns:r="http://schemas.openxmlformats.org/officeDocument/2006/relationships" r:id="rId6"/>
          <a:extLst>
            <a:ext uri="{FF2B5EF4-FFF2-40B4-BE49-F238E27FC236}">
              <a16:creationId xmlns:a16="http://schemas.microsoft.com/office/drawing/2014/main" id="{1AF98861-3F6F-4CAB-8361-F5DDC599E1B1}"/>
            </a:ext>
          </a:extLst>
        </xdr:cNvPr>
        <xdr:cNvSpPr/>
      </xdr:nvSpPr>
      <xdr:spPr>
        <a:xfrm>
          <a:off x="2924175" y="38100"/>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5</xdr:col>
      <xdr:colOff>314324</xdr:colOff>
      <xdr:row>0</xdr:row>
      <xdr:rowOff>28575</xdr:rowOff>
    </xdr:from>
    <xdr:to>
      <xdr:col>6</xdr:col>
      <xdr:colOff>133349</xdr:colOff>
      <xdr:row>0</xdr:row>
      <xdr:rowOff>304800</xdr:rowOff>
    </xdr:to>
    <xdr:sp macro="" textlink="">
      <xdr:nvSpPr>
        <xdr:cNvPr id="72" name="Rectangle: Rounded Corners 71">
          <a:hlinkClick xmlns:r="http://schemas.openxmlformats.org/officeDocument/2006/relationships" r:id="rId14"/>
          <a:extLst>
            <a:ext uri="{FF2B5EF4-FFF2-40B4-BE49-F238E27FC236}">
              <a16:creationId xmlns:a16="http://schemas.microsoft.com/office/drawing/2014/main" id="{701192F5-5D6A-4102-BF5F-A6B36C82D993}"/>
            </a:ext>
          </a:extLst>
        </xdr:cNvPr>
        <xdr:cNvSpPr/>
      </xdr:nvSpPr>
      <xdr:spPr>
        <a:xfrm>
          <a:off x="3362324" y="2857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6</xdr:col>
      <xdr:colOff>180974</xdr:colOff>
      <xdr:row>0</xdr:row>
      <xdr:rowOff>28575</xdr:rowOff>
    </xdr:from>
    <xdr:to>
      <xdr:col>7</xdr:col>
      <xdr:colOff>28574</xdr:colOff>
      <xdr:row>0</xdr:row>
      <xdr:rowOff>304800</xdr:rowOff>
    </xdr:to>
    <xdr:sp macro="" textlink="">
      <xdr:nvSpPr>
        <xdr:cNvPr id="73" name="Rectangle: Rounded Corners 72">
          <a:hlinkClick xmlns:r="http://schemas.openxmlformats.org/officeDocument/2006/relationships" r:id="rId15"/>
          <a:extLst>
            <a:ext uri="{FF2B5EF4-FFF2-40B4-BE49-F238E27FC236}">
              <a16:creationId xmlns:a16="http://schemas.microsoft.com/office/drawing/2014/main" id="{58B2B137-0DF8-4212-ABC0-19E9A0F70695}"/>
            </a:ext>
          </a:extLst>
        </xdr:cNvPr>
        <xdr:cNvSpPr/>
      </xdr:nvSpPr>
      <xdr:spPr>
        <a:xfrm>
          <a:off x="3838574" y="28575"/>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7</xdr:col>
      <xdr:colOff>66673</xdr:colOff>
      <xdr:row>0</xdr:row>
      <xdr:rowOff>19050</xdr:rowOff>
    </xdr:from>
    <xdr:to>
      <xdr:col>7</xdr:col>
      <xdr:colOff>495298</xdr:colOff>
      <xdr:row>0</xdr:row>
      <xdr:rowOff>295275</xdr:rowOff>
    </xdr:to>
    <xdr:sp macro="" textlink="">
      <xdr:nvSpPr>
        <xdr:cNvPr id="74" name="Rectangle: Rounded Corners 73">
          <a:hlinkClick xmlns:r="http://schemas.openxmlformats.org/officeDocument/2006/relationships" r:id="rId7"/>
          <a:extLst>
            <a:ext uri="{FF2B5EF4-FFF2-40B4-BE49-F238E27FC236}">
              <a16:creationId xmlns:a16="http://schemas.microsoft.com/office/drawing/2014/main" id="{F6C58B91-131B-4B74-AA23-292DFDA1E14A}"/>
            </a:ext>
          </a:extLst>
        </xdr:cNvPr>
        <xdr:cNvSpPr/>
      </xdr:nvSpPr>
      <xdr:spPr>
        <a:xfrm>
          <a:off x="4333873" y="190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7</xdr:col>
      <xdr:colOff>533399</xdr:colOff>
      <xdr:row>0</xdr:row>
      <xdr:rowOff>28575</xdr:rowOff>
    </xdr:from>
    <xdr:to>
      <xdr:col>8</xdr:col>
      <xdr:colOff>352424</xdr:colOff>
      <xdr:row>0</xdr:row>
      <xdr:rowOff>314325</xdr:rowOff>
    </xdr:to>
    <xdr:sp macro="" textlink="">
      <xdr:nvSpPr>
        <xdr:cNvPr id="75" name="Rectangle: Rounded Corners 74">
          <a:hlinkClick xmlns:r="http://schemas.openxmlformats.org/officeDocument/2006/relationships" r:id="rId8"/>
          <a:extLst>
            <a:ext uri="{FF2B5EF4-FFF2-40B4-BE49-F238E27FC236}">
              <a16:creationId xmlns:a16="http://schemas.microsoft.com/office/drawing/2014/main" id="{7D680DAB-A04A-47FE-A201-596A746CB340}"/>
            </a:ext>
          </a:extLst>
        </xdr:cNvPr>
        <xdr:cNvSpPr/>
      </xdr:nvSpPr>
      <xdr:spPr>
        <a:xfrm>
          <a:off x="4800599" y="28575"/>
          <a:ext cx="4286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8</xdr:col>
      <xdr:colOff>400049</xdr:colOff>
      <xdr:row>0</xdr:row>
      <xdr:rowOff>38100</xdr:rowOff>
    </xdr:from>
    <xdr:to>
      <xdr:col>9</xdr:col>
      <xdr:colOff>219074</xdr:colOff>
      <xdr:row>0</xdr:row>
      <xdr:rowOff>314325</xdr:rowOff>
    </xdr:to>
    <xdr:sp macro="" textlink="">
      <xdr:nvSpPr>
        <xdr:cNvPr id="76" name="Rectangle: Rounded Corners 75">
          <a:hlinkClick xmlns:r="http://schemas.openxmlformats.org/officeDocument/2006/relationships" r:id="rId16"/>
          <a:extLst>
            <a:ext uri="{FF2B5EF4-FFF2-40B4-BE49-F238E27FC236}">
              <a16:creationId xmlns:a16="http://schemas.microsoft.com/office/drawing/2014/main" id="{03EF78A0-6CD3-42ED-AE7C-867E2B08AF04}"/>
            </a:ext>
          </a:extLst>
        </xdr:cNvPr>
        <xdr:cNvSpPr/>
      </xdr:nvSpPr>
      <xdr:spPr>
        <a:xfrm>
          <a:off x="5276849" y="3810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9</xdr:col>
      <xdr:colOff>266699</xdr:colOff>
      <xdr:row>0</xdr:row>
      <xdr:rowOff>28575</xdr:rowOff>
    </xdr:from>
    <xdr:to>
      <xdr:col>10</xdr:col>
      <xdr:colOff>152399</xdr:colOff>
      <xdr:row>0</xdr:row>
      <xdr:rowOff>304800</xdr:rowOff>
    </xdr:to>
    <xdr:sp macro="" textlink="">
      <xdr:nvSpPr>
        <xdr:cNvPr id="77" name="Rectangle: Rounded Corners 76">
          <a:hlinkClick xmlns:r="http://schemas.openxmlformats.org/officeDocument/2006/relationships" r:id="rId17"/>
          <a:extLst>
            <a:ext uri="{FF2B5EF4-FFF2-40B4-BE49-F238E27FC236}">
              <a16:creationId xmlns:a16="http://schemas.microsoft.com/office/drawing/2014/main" id="{29555369-0DA9-44B0-8CD2-3985E4BC5EBC}"/>
            </a:ext>
          </a:extLst>
        </xdr:cNvPr>
        <xdr:cNvSpPr/>
      </xdr:nvSpPr>
      <xdr:spPr>
        <a:xfrm>
          <a:off x="5753099" y="28575"/>
          <a:ext cx="4953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10</xdr:col>
      <xdr:colOff>200024</xdr:colOff>
      <xdr:row>0</xdr:row>
      <xdr:rowOff>28575</xdr:rowOff>
    </xdr:from>
    <xdr:to>
      <xdr:col>11</xdr:col>
      <xdr:colOff>228599</xdr:colOff>
      <xdr:row>0</xdr:row>
      <xdr:rowOff>304800</xdr:rowOff>
    </xdr:to>
    <xdr:sp macro="" textlink="">
      <xdr:nvSpPr>
        <xdr:cNvPr id="112" name="Rectangle: Rounded Corners 111">
          <a:hlinkClick xmlns:r="http://schemas.openxmlformats.org/officeDocument/2006/relationships" r:id="rId9"/>
          <a:extLst>
            <a:ext uri="{FF2B5EF4-FFF2-40B4-BE49-F238E27FC236}">
              <a16:creationId xmlns:a16="http://schemas.microsoft.com/office/drawing/2014/main" id="{E4896269-8BCB-4114-957E-6294488D2457}"/>
            </a:ext>
          </a:extLst>
        </xdr:cNvPr>
        <xdr:cNvSpPr/>
      </xdr:nvSpPr>
      <xdr:spPr>
        <a:xfrm>
          <a:off x="6296024" y="28575"/>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11</xdr:col>
      <xdr:colOff>276224</xdr:colOff>
      <xdr:row>0</xdr:row>
      <xdr:rowOff>28575</xdr:rowOff>
    </xdr:from>
    <xdr:to>
      <xdr:col>12</xdr:col>
      <xdr:colOff>257174</xdr:colOff>
      <xdr:row>0</xdr:row>
      <xdr:rowOff>304800</xdr:rowOff>
    </xdr:to>
    <xdr:sp macro="" textlink="">
      <xdr:nvSpPr>
        <xdr:cNvPr id="113" name="Rectangle: Rounded Corners 112">
          <a:hlinkClick xmlns:r="http://schemas.openxmlformats.org/officeDocument/2006/relationships" r:id="rId18"/>
          <a:extLst>
            <a:ext uri="{FF2B5EF4-FFF2-40B4-BE49-F238E27FC236}">
              <a16:creationId xmlns:a16="http://schemas.microsoft.com/office/drawing/2014/main" id="{94BB41A3-C43A-48BA-A5B6-A1FE152A4750}"/>
            </a:ext>
          </a:extLst>
        </xdr:cNvPr>
        <xdr:cNvSpPr/>
      </xdr:nvSpPr>
      <xdr:spPr>
        <a:xfrm>
          <a:off x="6981824" y="28575"/>
          <a:ext cx="590550"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12</xdr:col>
      <xdr:colOff>295274</xdr:colOff>
      <xdr:row>0</xdr:row>
      <xdr:rowOff>38100</xdr:rowOff>
    </xdr:from>
    <xdr:to>
      <xdr:col>13</xdr:col>
      <xdr:colOff>276224</xdr:colOff>
      <xdr:row>0</xdr:row>
      <xdr:rowOff>314325</xdr:rowOff>
    </xdr:to>
    <xdr:sp macro="" textlink="">
      <xdr:nvSpPr>
        <xdr:cNvPr id="114" name="Rectangle: Rounded Corners 113">
          <a:hlinkClick xmlns:r="http://schemas.openxmlformats.org/officeDocument/2006/relationships" r:id="rId19"/>
          <a:extLst>
            <a:ext uri="{FF2B5EF4-FFF2-40B4-BE49-F238E27FC236}">
              <a16:creationId xmlns:a16="http://schemas.microsoft.com/office/drawing/2014/main" id="{6B363C14-0A5E-4864-A93C-9B32059A4FF2}"/>
            </a:ext>
          </a:extLst>
        </xdr:cNvPr>
        <xdr:cNvSpPr/>
      </xdr:nvSpPr>
      <xdr:spPr>
        <a:xfrm>
          <a:off x="7610474" y="38100"/>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13</xdr:col>
      <xdr:colOff>314324</xdr:colOff>
      <xdr:row>0</xdr:row>
      <xdr:rowOff>38100</xdr:rowOff>
    </xdr:from>
    <xdr:to>
      <xdr:col>14</xdr:col>
      <xdr:colOff>295274</xdr:colOff>
      <xdr:row>0</xdr:row>
      <xdr:rowOff>314325</xdr:rowOff>
    </xdr:to>
    <xdr:sp macro="" textlink="">
      <xdr:nvSpPr>
        <xdr:cNvPr id="115" name="Rectangle: Rounded Corners 114">
          <a:hlinkClick xmlns:r="http://schemas.openxmlformats.org/officeDocument/2006/relationships" r:id="rId10"/>
          <a:extLst>
            <a:ext uri="{FF2B5EF4-FFF2-40B4-BE49-F238E27FC236}">
              <a16:creationId xmlns:a16="http://schemas.microsoft.com/office/drawing/2014/main" id="{D5D13A62-DD00-4523-AF16-9B87D8E4059B}"/>
            </a:ext>
          </a:extLst>
        </xdr:cNvPr>
        <xdr:cNvSpPr/>
      </xdr:nvSpPr>
      <xdr:spPr>
        <a:xfrm>
          <a:off x="8239124" y="38100"/>
          <a:ext cx="590550"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14</xdr:col>
      <xdr:colOff>333373</xdr:colOff>
      <xdr:row>0</xdr:row>
      <xdr:rowOff>28575</xdr:rowOff>
    </xdr:from>
    <xdr:to>
      <xdr:col>15</xdr:col>
      <xdr:colOff>361948</xdr:colOff>
      <xdr:row>0</xdr:row>
      <xdr:rowOff>304800</xdr:rowOff>
    </xdr:to>
    <xdr:sp macro="" textlink="">
      <xdr:nvSpPr>
        <xdr:cNvPr id="116" name="Rectangle: Rounded Corners 115">
          <a:hlinkClick xmlns:r="http://schemas.openxmlformats.org/officeDocument/2006/relationships" r:id="rId20"/>
          <a:extLst>
            <a:ext uri="{FF2B5EF4-FFF2-40B4-BE49-F238E27FC236}">
              <a16:creationId xmlns:a16="http://schemas.microsoft.com/office/drawing/2014/main" id="{1DD59EDF-A3ED-4638-9699-E2D7F7A1568F}"/>
            </a:ext>
          </a:extLst>
        </xdr:cNvPr>
        <xdr:cNvSpPr/>
      </xdr:nvSpPr>
      <xdr:spPr>
        <a:xfrm>
          <a:off x="8867773" y="28575"/>
          <a:ext cx="638175"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twoCellAnchor>
    <xdr:from>
      <xdr:col>0</xdr:col>
      <xdr:colOff>95250</xdr:colOff>
      <xdr:row>197</xdr:row>
      <xdr:rowOff>95250</xdr:rowOff>
    </xdr:from>
    <xdr:to>
      <xdr:col>0</xdr:col>
      <xdr:colOff>438150</xdr:colOff>
      <xdr:row>199</xdr:row>
      <xdr:rowOff>28575</xdr:rowOff>
    </xdr:to>
    <xdr:sp macro="" textlink="">
      <xdr:nvSpPr>
        <xdr:cNvPr id="39" name="Star: 5 Points 38">
          <a:extLst>
            <a:ext uri="{FF2B5EF4-FFF2-40B4-BE49-F238E27FC236}">
              <a16:creationId xmlns:a16="http://schemas.microsoft.com/office/drawing/2014/main" id="{3C1E5679-1B10-45A6-8D77-1ECEC51646D6}"/>
            </a:ext>
          </a:extLst>
        </xdr:cNvPr>
        <xdr:cNvSpPr/>
      </xdr:nvSpPr>
      <xdr:spPr>
        <a:xfrm>
          <a:off x="95250" y="34137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197</xdr:row>
      <xdr:rowOff>114300</xdr:rowOff>
    </xdr:from>
    <xdr:to>
      <xdr:col>1</xdr:col>
      <xdr:colOff>247650</xdr:colOff>
      <xdr:row>199</xdr:row>
      <xdr:rowOff>47625</xdr:rowOff>
    </xdr:to>
    <xdr:sp macro="" textlink="">
      <xdr:nvSpPr>
        <xdr:cNvPr id="44" name="Star: 5 Points 43">
          <a:extLst>
            <a:ext uri="{FF2B5EF4-FFF2-40B4-BE49-F238E27FC236}">
              <a16:creationId xmlns:a16="http://schemas.microsoft.com/office/drawing/2014/main" id="{5A794FF0-5655-4C70-A8CD-D69938121124}"/>
            </a:ext>
          </a:extLst>
        </xdr:cNvPr>
        <xdr:cNvSpPr/>
      </xdr:nvSpPr>
      <xdr:spPr>
        <a:xfrm>
          <a:off x="514350" y="341566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197</xdr:row>
      <xdr:rowOff>114300</xdr:rowOff>
    </xdr:from>
    <xdr:to>
      <xdr:col>2</xdr:col>
      <xdr:colOff>76200</xdr:colOff>
      <xdr:row>199</xdr:row>
      <xdr:rowOff>47625</xdr:rowOff>
    </xdr:to>
    <xdr:sp macro="" textlink="">
      <xdr:nvSpPr>
        <xdr:cNvPr id="55" name="Star: 5 Points 54">
          <a:extLst>
            <a:ext uri="{FF2B5EF4-FFF2-40B4-BE49-F238E27FC236}">
              <a16:creationId xmlns:a16="http://schemas.microsoft.com/office/drawing/2014/main" id="{7F39E0AC-1BB1-4C75-BAA8-2C2D47F4A9D5}"/>
            </a:ext>
          </a:extLst>
        </xdr:cNvPr>
        <xdr:cNvSpPr/>
      </xdr:nvSpPr>
      <xdr:spPr>
        <a:xfrm>
          <a:off x="952500" y="341566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197</xdr:row>
      <xdr:rowOff>114300</xdr:rowOff>
    </xdr:from>
    <xdr:to>
      <xdr:col>2</xdr:col>
      <xdr:colOff>523875</xdr:colOff>
      <xdr:row>199</xdr:row>
      <xdr:rowOff>47625</xdr:rowOff>
    </xdr:to>
    <xdr:sp macro="" textlink="">
      <xdr:nvSpPr>
        <xdr:cNvPr id="56" name="Star: 5 Points 55">
          <a:extLst>
            <a:ext uri="{FF2B5EF4-FFF2-40B4-BE49-F238E27FC236}">
              <a16:creationId xmlns:a16="http://schemas.microsoft.com/office/drawing/2014/main" id="{110702D9-16EA-4883-9544-9D5C190D5841}"/>
            </a:ext>
          </a:extLst>
        </xdr:cNvPr>
        <xdr:cNvSpPr/>
      </xdr:nvSpPr>
      <xdr:spPr>
        <a:xfrm>
          <a:off x="1400175" y="341566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197</xdr:row>
      <xdr:rowOff>123825</xdr:rowOff>
    </xdr:from>
    <xdr:to>
      <xdr:col>3</xdr:col>
      <xdr:colOff>342900</xdr:colOff>
      <xdr:row>199</xdr:row>
      <xdr:rowOff>57150</xdr:rowOff>
    </xdr:to>
    <xdr:sp macro="" textlink="">
      <xdr:nvSpPr>
        <xdr:cNvPr id="57" name="Star: 5 Points 56">
          <a:extLst>
            <a:ext uri="{FF2B5EF4-FFF2-40B4-BE49-F238E27FC236}">
              <a16:creationId xmlns:a16="http://schemas.microsoft.com/office/drawing/2014/main" id="{08E1B68A-94AF-47A3-B872-B34093ED5AA4}"/>
            </a:ext>
          </a:extLst>
        </xdr:cNvPr>
        <xdr:cNvSpPr/>
      </xdr:nvSpPr>
      <xdr:spPr>
        <a:xfrm>
          <a:off x="1828800" y="3416617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201</xdr:row>
      <xdr:rowOff>57151</xdr:rowOff>
    </xdr:from>
    <xdr:to>
      <xdr:col>4</xdr:col>
      <xdr:colOff>57150</xdr:colOff>
      <xdr:row>205</xdr:row>
      <xdr:rowOff>9526</xdr:rowOff>
    </xdr:to>
    <xdr:sp macro="" textlink="">
      <xdr:nvSpPr>
        <xdr:cNvPr id="58" name="Rectangle 57">
          <a:extLst>
            <a:ext uri="{FF2B5EF4-FFF2-40B4-BE49-F238E27FC236}">
              <a16:creationId xmlns:a16="http://schemas.microsoft.com/office/drawing/2014/main" id="{BE0DDC36-D6F8-4B8D-A7DD-5FAE937E1D82}"/>
            </a:ext>
          </a:extLst>
        </xdr:cNvPr>
        <xdr:cNvSpPr/>
      </xdr:nvSpPr>
      <xdr:spPr>
        <a:xfrm>
          <a:off x="85725" y="348710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207</xdr:row>
      <xdr:rowOff>76201</xdr:rowOff>
    </xdr:from>
    <xdr:to>
      <xdr:col>4</xdr:col>
      <xdr:colOff>57150</xdr:colOff>
      <xdr:row>211</xdr:row>
      <xdr:rowOff>38101</xdr:rowOff>
    </xdr:to>
    <xdr:sp macro="" textlink="">
      <xdr:nvSpPr>
        <xdr:cNvPr id="59" name="Rectangle 58">
          <a:extLst>
            <a:ext uri="{FF2B5EF4-FFF2-40B4-BE49-F238E27FC236}">
              <a16:creationId xmlns:a16="http://schemas.microsoft.com/office/drawing/2014/main" id="{EF9CDA0D-EF17-4178-847E-F0EBFBA0AF91}"/>
            </a:ext>
          </a:extLst>
        </xdr:cNvPr>
        <xdr:cNvSpPr/>
      </xdr:nvSpPr>
      <xdr:spPr>
        <a:xfrm>
          <a:off x="85725" y="3605212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213</xdr:row>
      <xdr:rowOff>123825</xdr:rowOff>
    </xdr:from>
    <xdr:to>
      <xdr:col>4</xdr:col>
      <xdr:colOff>76200</xdr:colOff>
      <xdr:row>222</xdr:row>
      <xdr:rowOff>9525</xdr:rowOff>
    </xdr:to>
    <xdr:sp macro="" textlink="">
      <xdr:nvSpPr>
        <xdr:cNvPr id="60" name="Rectangle 59">
          <a:extLst>
            <a:ext uri="{FF2B5EF4-FFF2-40B4-BE49-F238E27FC236}">
              <a16:creationId xmlns:a16="http://schemas.microsoft.com/office/drawing/2014/main" id="{DD45FA36-BFC3-44A1-9CE9-1212B81E8977}"/>
            </a:ext>
          </a:extLst>
        </xdr:cNvPr>
        <xdr:cNvSpPr/>
      </xdr:nvSpPr>
      <xdr:spPr>
        <a:xfrm>
          <a:off x="104775" y="3725227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201</xdr:row>
      <xdr:rowOff>38100</xdr:rowOff>
    </xdr:from>
    <xdr:to>
      <xdr:col>8</xdr:col>
      <xdr:colOff>333375</xdr:colOff>
      <xdr:row>203</xdr:row>
      <xdr:rowOff>161925</xdr:rowOff>
    </xdr:to>
    <xdr:sp macro="" textlink="">
      <xdr:nvSpPr>
        <xdr:cNvPr id="61" name="Rectangle 60">
          <a:extLst>
            <a:ext uri="{FF2B5EF4-FFF2-40B4-BE49-F238E27FC236}">
              <a16:creationId xmlns:a16="http://schemas.microsoft.com/office/drawing/2014/main" id="{38D91333-7965-41D2-B24B-464AD874820A}"/>
            </a:ext>
          </a:extLst>
        </xdr:cNvPr>
        <xdr:cNvSpPr/>
      </xdr:nvSpPr>
      <xdr:spPr>
        <a:xfrm>
          <a:off x="3028950" y="34851975"/>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205</xdr:row>
      <xdr:rowOff>76201</xdr:rowOff>
    </xdr:from>
    <xdr:to>
      <xdr:col>8</xdr:col>
      <xdr:colOff>352425</xdr:colOff>
      <xdr:row>209</xdr:row>
      <xdr:rowOff>38101</xdr:rowOff>
    </xdr:to>
    <xdr:sp macro="" textlink="">
      <xdr:nvSpPr>
        <xdr:cNvPr id="62" name="Rectangle 61">
          <a:extLst>
            <a:ext uri="{FF2B5EF4-FFF2-40B4-BE49-F238E27FC236}">
              <a16:creationId xmlns:a16="http://schemas.microsoft.com/office/drawing/2014/main" id="{F4C95F76-8A93-48D2-B450-CE12769555E8}"/>
            </a:ext>
          </a:extLst>
        </xdr:cNvPr>
        <xdr:cNvSpPr/>
      </xdr:nvSpPr>
      <xdr:spPr>
        <a:xfrm>
          <a:off x="3028950" y="35661601"/>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211</xdr:row>
      <xdr:rowOff>104775</xdr:rowOff>
    </xdr:from>
    <xdr:to>
      <xdr:col>8</xdr:col>
      <xdr:colOff>352425</xdr:colOff>
      <xdr:row>213</xdr:row>
      <xdr:rowOff>171450</xdr:rowOff>
    </xdr:to>
    <xdr:sp macro="" textlink="">
      <xdr:nvSpPr>
        <xdr:cNvPr id="63" name="Rectangle 62">
          <a:extLst>
            <a:ext uri="{FF2B5EF4-FFF2-40B4-BE49-F238E27FC236}">
              <a16:creationId xmlns:a16="http://schemas.microsoft.com/office/drawing/2014/main" id="{03F94C2D-5EE4-426F-91D4-E4E7060C284E}"/>
            </a:ext>
          </a:extLst>
        </xdr:cNvPr>
        <xdr:cNvSpPr/>
      </xdr:nvSpPr>
      <xdr:spPr>
        <a:xfrm>
          <a:off x="3019426" y="36842700"/>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215</xdr:row>
      <xdr:rowOff>28575</xdr:rowOff>
    </xdr:from>
    <xdr:to>
      <xdr:col>6</xdr:col>
      <xdr:colOff>171449</xdr:colOff>
      <xdr:row>216</xdr:row>
      <xdr:rowOff>171450</xdr:rowOff>
    </xdr:to>
    <xdr:sp macro="" textlink="">
      <xdr:nvSpPr>
        <xdr:cNvPr id="64" name="Rectangle 63">
          <a:extLst>
            <a:ext uri="{FF2B5EF4-FFF2-40B4-BE49-F238E27FC236}">
              <a16:creationId xmlns:a16="http://schemas.microsoft.com/office/drawing/2014/main" id="{0DC37B94-063F-455A-ABD4-B0F5B857FD8A}"/>
            </a:ext>
          </a:extLst>
        </xdr:cNvPr>
        <xdr:cNvSpPr/>
      </xdr:nvSpPr>
      <xdr:spPr>
        <a:xfrm>
          <a:off x="3067050" y="3753802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100-500</a:t>
          </a:r>
        </a:p>
      </xdr:txBody>
    </xdr:sp>
    <xdr:clientData/>
  </xdr:twoCellAnchor>
  <xdr:twoCellAnchor>
    <xdr:from>
      <xdr:col>8</xdr:col>
      <xdr:colOff>485775</xdr:colOff>
      <xdr:row>197</xdr:row>
      <xdr:rowOff>180974</xdr:rowOff>
    </xdr:from>
    <xdr:to>
      <xdr:col>13</xdr:col>
      <xdr:colOff>552450</xdr:colOff>
      <xdr:row>230</xdr:row>
      <xdr:rowOff>123825</xdr:rowOff>
    </xdr:to>
    <xdr:sp macro="" textlink="">
      <xdr:nvSpPr>
        <xdr:cNvPr id="65" name="Rectangle 64">
          <a:extLst>
            <a:ext uri="{FF2B5EF4-FFF2-40B4-BE49-F238E27FC236}">
              <a16:creationId xmlns:a16="http://schemas.microsoft.com/office/drawing/2014/main" id="{5BF9C164-D5B9-4440-913E-E7DF5A74FD73}"/>
            </a:ext>
          </a:extLst>
        </xdr:cNvPr>
        <xdr:cNvSpPr/>
      </xdr:nvSpPr>
      <xdr:spPr>
        <a:xfrm>
          <a:off x="5362575" y="34223324"/>
          <a:ext cx="3114675" cy="62674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b="0"/>
            <a:t>​The Seattle Nursing Research Consortium (SNRC) organizes this annual conference to promote evidence-based practice, quality improvement, and research in nursing. It serves as a platform for nurses across various roles, including direct patient care, to present their work, engage in discussions, and enhance their clinical inquiry skills. ​</a:t>
          </a:r>
        </a:p>
        <a:p>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r>
            <a:rPr lang="en-US" b="1"/>
            <a:t>Theme</a:t>
          </a:r>
          <a:r>
            <a:rPr lang="en-US"/>
            <a:t>:</a:t>
          </a:r>
        </a:p>
        <a:p>
          <a:r>
            <a:rPr lang="en-US"/>
            <a:t>"Expanding Our Thinking"​</a:t>
          </a:r>
        </a:p>
        <a:p>
          <a:r>
            <a:rPr lang="en-US" b="1"/>
            <a:t>Key Features</a:t>
          </a:r>
          <a:r>
            <a:rPr lang="en-US"/>
            <a:t>:</a:t>
          </a:r>
        </a:p>
        <a:p>
          <a:r>
            <a:rPr lang="en-US" b="1"/>
            <a:t>Keynote Speakers</a:t>
          </a:r>
          <a:r>
            <a:rPr lang="en-US"/>
            <a:t>: Insights from leaders in nursing innovation and leadership.​</a:t>
          </a:r>
        </a:p>
        <a:p>
          <a:r>
            <a:rPr lang="en-US" b="1"/>
            <a:t> -</a:t>
          </a:r>
          <a:r>
            <a:rPr lang="en-US" b="1" baseline="0"/>
            <a:t> </a:t>
          </a:r>
          <a:r>
            <a:rPr lang="en-US" b="1"/>
            <a:t>Dr. Dan Weberg, PhD, MHI, RN, FAAN</a:t>
          </a:r>
          <a:r>
            <a:rPr lang="en-US"/>
            <a:t>:      National Executive Director, Nursing Workforce Development and Innovation at Kaiser Permanente.​</a:t>
          </a:r>
        </a:p>
        <a:p>
          <a:r>
            <a:rPr lang="en-US" b="1"/>
            <a:t>-</a:t>
          </a:r>
          <a:r>
            <a:rPr lang="en-US" b="1" baseline="0"/>
            <a:t> </a:t>
          </a:r>
          <a:r>
            <a:rPr lang="en-US" b="1"/>
            <a:t>Keri Nasenbeny, MHA, BSN, RN</a:t>
          </a:r>
          <a:r>
            <a:rPr lang="en-US"/>
            <a:t>: Chief Nursing Officer, Harborview Medical Center. </a:t>
          </a:r>
        </a:p>
        <a:p>
          <a:endParaRPr lang="en-US" b="1"/>
        </a:p>
        <a:p>
          <a:r>
            <a:rPr lang="en-US" b="1"/>
            <a:t>Workshops</a:t>
          </a:r>
          <a:r>
            <a:rPr lang="en-US"/>
            <a:t>: Morning sessions focusing on techniques and tools for evidence-based practice (EBP), quality improvement (QI), and research, including literature search, critical appraisal, and study design.​</a:t>
          </a:r>
        </a:p>
        <a:p>
          <a:r>
            <a:rPr lang="en-US" b="1"/>
            <a:t>Study In A Day</a:t>
          </a:r>
          <a:r>
            <a:rPr lang="en-US"/>
            <a:t>: Participants engage in practical application of workshop tools to conduct a study during the conference.​</a:t>
          </a:r>
        </a:p>
        <a:p>
          <a:r>
            <a:rPr lang="en-US" b="1"/>
            <a:t>Poster and Podium Presentations</a:t>
          </a:r>
          <a:r>
            <a:rPr lang="en-US"/>
            <a:t>: Afternoon sessions dedicated to project dissemination, with presentations selected from submitted abstracts.​</a:t>
          </a:r>
        </a:p>
        <a:p>
          <a:r>
            <a:rPr lang="en-US" b="1"/>
            <a:t>Vendor Fair</a:t>
          </a:r>
          <a:r>
            <a:rPr lang="en-US"/>
            <a:t>: Opportunities to explore the latest innovations in nursing practice and patient care. </a:t>
          </a:r>
        </a:p>
        <a:p>
          <a:endParaRPr lang="en-US" sz="1100" b="0" i="0">
            <a:solidFill>
              <a:schemeClr val="lt1"/>
            </a:solidFill>
            <a:effectLst/>
            <a:latin typeface="+mn-lt"/>
            <a:ea typeface="+mn-ea"/>
            <a:cs typeface="+mn-cs"/>
          </a:endParaRPr>
        </a:p>
        <a:p>
          <a:pPr algn="l"/>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Valley Medical Center - Medical Arts Center Auditorium; 4033 Talbot Road South, Renton, WA 98055</a:t>
          </a:r>
          <a:endParaRPr lang="en-US" sz="1100"/>
        </a:p>
      </xdr:txBody>
    </xdr:sp>
    <xdr:clientData/>
  </xdr:twoCellAnchor>
  <xdr:twoCellAnchor>
    <xdr:from>
      <xdr:col>0</xdr:col>
      <xdr:colOff>76199</xdr:colOff>
      <xdr:row>223</xdr:row>
      <xdr:rowOff>38101</xdr:rowOff>
    </xdr:from>
    <xdr:to>
      <xdr:col>4</xdr:col>
      <xdr:colOff>485775</xdr:colOff>
      <xdr:row>231</xdr:row>
      <xdr:rowOff>152400</xdr:rowOff>
    </xdr:to>
    <xdr:sp macro="" textlink="">
      <xdr:nvSpPr>
        <xdr:cNvPr id="66" name="Rectangle 65">
          <a:extLst>
            <a:ext uri="{FF2B5EF4-FFF2-40B4-BE49-F238E27FC236}">
              <a16:creationId xmlns:a16="http://schemas.microsoft.com/office/drawing/2014/main" id="{C5A862D2-5B08-47BD-B441-375D15656818}"/>
            </a:ext>
          </a:extLst>
        </xdr:cNvPr>
        <xdr:cNvSpPr/>
      </xdr:nvSpPr>
      <xdr:spPr>
        <a:xfrm>
          <a:off x="76199" y="39071551"/>
          <a:ext cx="2847976" cy="163829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Registration Fees</a:t>
          </a:r>
          <a:r>
            <a:rPr lang="en-US"/>
            <a:t>:</a:t>
          </a:r>
        </a:p>
        <a:p>
          <a:r>
            <a:rPr lang="en-US" b="1"/>
            <a:t>Regular</a:t>
          </a:r>
          <a:r>
            <a:rPr lang="en-US"/>
            <a:t>: $275 for two days; $175 for one day​</a:t>
          </a:r>
        </a:p>
        <a:p>
          <a:r>
            <a:rPr lang="en-US" b="1"/>
            <a:t>Early Bird (Until February 16)</a:t>
          </a:r>
          <a:r>
            <a:rPr lang="en-US"/>
            <a:t>: $225 for two days; $150 for one day​</a:t>
          </a:r>
        </a:p>
        <a:p>
          <a:r>
            <a:rPr lang="en-US" b="1"/>
            <a:t>Presenters</a:t>
          </a:r>
          <a:r>
            <a:rPr lang="en-US"/>
            <a:t>: $225 for two days; $150 for one day​</a:t>
          </a:r>
        </a:p>
        <a:p>
          <a:r>
            <a:rPr lang="en-US" b="1"/>
            <a:t>Students</a:t>
          </a:r>
          <a:r>
            <a:rPr lang="en-US"/>
            <a:t>: $225 for two days; $150 for one day​</a:t>
          </a:r>
        </a:p>
        <a:p>
          <a:r>
            <a:rPr lang="en-US" i="1"/>
            <a:t>​Fees include continental breakfast, buffet lunch, and continuing nursing education contact hours.</a:t>
          </a:r>
          <a:r>
            <a:rPr lang="en-US"/>
            <a:t> </a:t>
          </a:r>
        </a:p>
        <a:p>
          <a:endParaRPr lang="en-US" sz="1100" b="0" i="0">
            <a:solidFill>
              <a:schemeClr val="lt1"/>
            </a:solidFill>
            <a:effectLst/>
            <a:latin typeface="+mn-lt"/>
            <a:ea typeface="+mn-ea"/>
            <a:cs typeface="+mn-cs"/>
          </a:endParaRPr>
        </a:p>
      </xdr:txBody>
    </xdr:sp>
    <xdr:clientData/>
  </xdr:twoCellAnchor>
  <xdr:twoCellAnchor>
    <xdr:from>
      <xdr:col>4</xdr:col>
      <xdr:colOff>561975</xdr:colOff>
      <xdr:row>218</xdr:row>
      <xdr:rowOff>47626</xdr:rowOff>
    </xdr:from>
    <xdr:to>
      <xdr:col>8</xdr:col>
      <xdr:colOff>342900</xdr:colOff>
      <xdr:row>232</xdr:row>
      <xdr:rowOff>133350</xdr:rowOff>
    </xdr:to>
    <xdr:sp macro="" textlink="">
      <xdr:nvSpPr>
        <xdr:cNvPr id="117" name="Rectangle 116">
          <a:extLst>
            <a:ext uri="{FF2B5EF4-FFF2-40B4-BE49-F238E27FC236}">
              <a16:creationId xmlns:a16="http://schemas.microsoft.com/office/drawing/2014/main" id="{172D0191-6CD4-4F55-B971-59411961858B}"/>
            </a:ext>
          </a:extLst>
        </xdr:cNvPr>
        <xdr:cNvSpPr/>
      </xdr:nvSpPr>
      <xdr:spPr>
        <a:xfrm>
          <a:off x="3000375" y="38128576"/>
          <a:ext cx="2219325" cy="27527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This conference is designed for healthcare professionals seeking to advance their knowledge and practice in evidence-based practice, quality improvement, and research. </a:t>
          </a:r>
        </a:p>
        <a:p>
          <a:endParaRPr lang="en-US"/>
        </a:p>
        <a:p>
          <a:r>
            <a:rPr lang="en-US"/>
            <a:t>It is particularly beneficial for:</a:t>
          </a:r>
        </a:p>
        <a:p>
          <a:endParaRPr lang="en-US"/>
        </a:p>
        <a:p>
          <a:r>
            <a:rPr lang="en-US"/>
            <a:t>- Nurses in direct patient care roles​</a:t>
          </a:r>
        </a:p>
        <a:p>
          <a:r>
            <a:rPr lang="en-US"/>
            <a:t>- Nurse managers and leaders​</a:t>
          </a:r>
        </a:p>
        <a:p>
          <a:r>
            <a:rPr lang="en-US"/>
            <a:t>- Advanced practice nurses​</a:t>
          </a:r>
        </a:p>
        <a:p>
          <a:r>
            <a:rPr lang="en-US"/>
            <a:t>- Nursing students</a:t>
          </a:r>
        </a:p>
        <a:p>
          <a:r>
            <a:rPr lang="en-US"/>
            <a:t>- Healthcare professionals interested in nursing research and evidence-based practice </a:t>
          </a:r>
        </a:p>
        <a:p>
          <a:endParaRPr lang="en-US" b="0"/>
        </a:p>
      </xdr:txBody>
    </xdr:sp>
    <xdr:clientData/>
  </xdr:twoCellAnchor>
  <xdr:twoCellAnchor>
    <xdr:from>
      <xdr:col>0</xdr:col>
      <xdr:colOff>28575</xdr:colOff>
      <xdr:row>233</xdr:row>
      <xdr:rowOff>38099</xdr:rowOff>
    </xdr:from>
    <xdr:to>
      <xdr:col>9</xdr:col>
      <xdr:colOff>276225</xdr:colOff>
      <xdr:row>239</xdr:row>
      <xdr:rowOff>133350</xdr:rowOff>
    </xdr:to>
    <xdr:sp macro="" textlink="">
      <xdr:nvSpPr>
        <xdr:cNvPr id="118" name="Rectangle 117">
          <a:extLst>
            <a:ext uri="{FF2B5EF4-FFF2-40B4-BE49-F238E27FC236}">
              <a16:creationId xmlns:a16="http://schemas.microsoft.com/office/drawing/2014/main" id="{F4DD26DC-F982-4F34-9817-05BF4107EF54}"/>
            </a:ext>
          </a:extLst>
        </xdr:cNvPr>
        <xdr:cNvSpPr/>
      </xdr:nvSpPr>
      <xdr:spPr>
        <a:xfrm>
          <a:off x="28575" y="40976549"/>
          <a:ext cx="5734050" cy="12382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Alante</a:t>
          </a:r>
          <a:r>
            <a:rPr lang="en-US"/>
            <a:t>: Involved in chronic care management and palliative care, benefiting from advancements in evidence-based practices.​</a:t>
          </a:r>
        </a:p>
        <a:p>
          <a:r>
            <a:rPr lang="en-US" b="1"/>
            <a:t>Aleca</a:t>
          </a:r>
          <a:r>
            <a:rPr lang="en-US"/>
            <a:t>: Provides home health care and hospice services, aligning with the conference's emphasis on quality improvement in patient care.​</a:t>
          </a:r>
        </a:p>
        <a:p>
          <a:r>
            <a:rPr lang="en-US" b="1"/>
            <a:t>Encore</a:t>
          </a:r>
          <a:r>
            <a:rPr lang="en-US"/>
            <a:t>: </a:t>
          </a:r>
          <a:r>
            <a:rPr lang="en-US" b="0"/>
            <a:t>Solid fit for Encore’s clinical staff (RNs, DONs, care managers),</a:t>
          </a:r>
          <a:r>
            <a:rPr lang="en-US" b="0" baseline="0"/>
            <a:t> and those</a:t>
          </a:r>
          <a:r>
            <a:rPr lang="en-US" b="0"/>
            <a:t> looking to apply research or QI processes in a senior living/skilled care setting</a:t>
          </a:r>
        </a:p>
        <a:p>
          <a:endParaRPr lang="en-US"/>
        </a:p>
        <a:p>
          <a:pPr algn="l"/>
          <a:endParaRPr lang="en-US" sz="1100"/>
        </a:p>
      </xdr:txBody>
    </xdr:sp>
    <xdr:clientData/>
  </xdr:twoCellAnchor>
  <xdr:twoCellAnchor>
    <xdr:from>
      <xdr:col>9</xdr:col>
      <xdr:colOff>419100</xdr:colOff>
      <xdr:row>232</xdr:row>
      <xdr:rowOff>85724</xdr:rowOff>
    </xdr:from>
    <xdr:to>
      <xdr:col>13</xdr:col>
      <xdr:colOff>390525</xdr:colOff>
      <xdr:row>237</xdr:row>
      <xdr:rowOff>47625</xdr:rowOff>
    </xdr:to>
    <xdr:sp macro="" textlink="">
      <xdr:nvSpPr>
        <xdr:cNvPr id="119" name="Rectangle 118">
          <a:hlinkClick xmlns:r="http://schemas.openxmlformats.org/officeDocument/2006/relationships" r:id="rId21"/>
          <a:extLst>
            <a:ext uri="{FF2B5EF4-FFF2-40B4-BE49-F238E27FC236}">
              <a16:creationId xmlns:a16="http://schemas.microsoft.com/office/drawing/2014/main" id="{8A5836F2-7C56-4396-B754-C4818A0F14FF}"/>
            </a:ext>
          </a:extLst>
        </xdr:cNvPr>
        <xdr:cNvSpPr/>
      </xdr:nvSpPr>
      <xdr:spPr>
        <a:xfrm>
          <a:off x="5905500" y="40833674"/>
          <a:ext cx="2409825" cy="914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SNRC Nursing Research Workshop &amp; Conference 2025 | The Seattle Nursing Research Consortium | Nursing Network</a:t>
          </a:r>
          <a:endParaRPr lang="en-US" sz="1100">
            <a:solidFill>
              <a:schemeClr val="bg1"/>
            </a:solidFill>
          </a:endParaRPr>
        </a:p>
      </xdr:txBody>
    </xdr:sp>
    <xdr:clientData/>
  </xdr:twoCellAnchor>
  <xdr:twoCellAnchor>
    <xdr:from>
      <xdr:col>0</xdr:col>
      <xdr:colOff>95250</xdr:colOff>
      <xdr:row>245</xdr:row>
      <xdr:rowOff>95250</xdr:rowOff>
    </xdr:from>
    <xdr:to>
      <xdr:col>0</xdr:col>
      <xdr:colOff>438150</xdr:colOff>
      <xdr:row>247</xdr:row>
      <xdr:rowOff>28575</xdr:rowOff>
    </xdr:to>
    <xdr:sp macro="" textlink="">
      <xdr:nvSpPr>
        <xdr:cNvPr id="120" name="Star: 5 Points 119">
          <a:extLst>
            <a:ext uri="{FF2B5EF4-FFF2-40B4-BE49-F238E27FC236}">
              <a16:creationId xmlns:a16="http://schemas.microsoft.com/office/drawing/2014/main" id="{2E0C8356-E19E-4828-86A9-8665CAFF1D8D}"/>
            </a:ext>
          </a:extLst>
        </xdr:cNvPr>
        <xdr:cNvSpPr/>
      </xdr:nvSpPr>
      <xdr:spPr>
        <a:xfrm>
          <a:off x="95250" y="802195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245</xdr:row>
      <xdr:rowOff>114300</xdr:rowOff>
    </xdr:from>
    <xdr:to>
      <xdr:col>1</xdr:col>
      <xdr:colOff>247650</xdr:colOff>
      <xdr:row>247</xdr:row>
      <xdr:rowOff>47625</xdr:rowOff>
    </xdr:to>
    <xdr:sp macro="" textlink="">
      <xdr:nvSpPr>
        <xdr:cNvPr id="121" name="Star: 5 Points 120">
          <a:extLst>
            <a:ext uri="{FF2B5EF4-FFF2-40B4-BE49-F238E27FC236}">
              <a16:creationId xmlns:a16="http://schemas.microsoft.com/office/drawing/2014/main" id="{37CA872A-713A-49DA-984F-7C43843276E6}"/>
            </a:ext>
          </a:extLst>
        </xdr:cNvPr>
        <xdr:cNvSpPr/>
      </xdr:nvSpPr>
      <xdr:spPr>
        <a:xfrm>
          <a:off x="514350" y="80238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245</xdr:row>
      <xdr:rowOff>114300</xdr:rowOff>
    </xdr:from>
    <xdr:to>
      <xdr:col>2</xdr:col>
      <xdr:colOff>76200</xdr:colOff>
      <xdr:row>247</xdr:row>
      <xdr:rowOff>47625</xdr:rowOff>
    </xdr:to>
    <xdr:sp macro="" textlink="">
      <xdr:nvSpPr>
        <xdr:cNvPr id="122" name="Star: 5 Points 121">
          <a:extLst>
            <a:ext uri="{FF2B5EF4-FFF2-40B4-BE49-F238E27FC236}">
              <a16:creationId xmlns:a16="http://schemas.microsoft.com/office/drawing/2014/main" id="{244ED3CC-EDB7-46F0-87DB-138ABF3F5EE1}"/>
            </a:ext>
          </a:extLst>
        </xdr:cNvPr>
        <xdr:cNvSpPr/>
      </xdr:nvSpPr>
      <xdr:spPr>
        <a:xfrm>
          <a:off x="952500" y="80238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245</xdr:row>
      <xdr:rowOff>114300</xdr:rowOff>
    </xdr:from>
    <xdr:to>
      <xdr:col>2</xdr:col>
      <xdr:colOff>523875</xdr:colOff>
      <xdr:row>247</xdr:row>
      <xdr:rowOff>47625</xdr:rowOff>
    </xdr:to>
    <xdr:sp macro="" textlink="">
      <xdr:nvSpPr>
        <xdr:cNvPr id="123" name="Star: 5 Points 122">
          <a:extLst>
            <a:ext uri="{FF2B5EF4-FFF2-40B4-BE49-F238E27FC236}">
              <a16:creationId xmlns:a16="http://schemas.microsoft.com/office/drawing/2014/main" id="{68910F8E-EC5F-4DF3-8B8D-F6AB6D3434C6}"/>
            </a:ext>
          </a:extLst>
        </xdr:cNvPr>
        <xdr:cNvSpPr/>
      </xdr:nvSpPr>
      <xdr:spPr>
        <a:xfrm>
          <a:off x="1400175" y="802386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245</xdr:row>
      <xdr:rowOff>123825</xdr:rowOff>
    </xdr:from>
    <xdr:to>
      <xdr:col>3</xdr:col>
      <xdr:colOff>342900</xdr:colOff>
      <xdr:row>247</xdr:row>
      <xdr:rowOff>57150</xdr:rowOff>
    </xdr:to>
    <xdr:sp macro="" textlink="">
      <xdr:nvSpPr>
        <xdr:cNvPr id="124" name="Star: 5 Points 123">
          <a:extLst>
            <a:ext uri="{FF2B5EF4-FFF2-40B4-BE49-F238E27FC236}">
              <a16:creationId xmlns:a16="http://schemas.microsoft.com/office/drawing/2014/main" id="{8D3C1D55-FAAE-4536-87C0-8A0676778FCB}"/>
            </a:ext>
          </a:extLst>
        </xdr:cNvPr>
        <xdr:cNvSpPr/>
      </xdr:nvSpPr>
      <xdr:spPr>
        <a:xfrm>
          <a:off x="1828800" y="802481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249</xdr:row>
      <xdr:rowOff>57151</xdr:rowOff>
    </xdr:from>
    <xdr:to>
      <xdr:col>4</xdr:col>
      <xdr:colOff>57150</xdr:colOff>
      <xdr:row>253</xdr:row>
      <xdr:rowOff>9526</xdr:rowOff>
    </xdr:to>
    <xdr:sp macro="" textlink="">
      <xdr:nvSpPr>
        <xdr:cNvPr id="125" name="Rectangle 124">
          <a:extLst>
            <a:ext uri="{FF2B5EF4-FFF2-40B4-BE49-F238E27FC236}">
              <a16:creationId xmlns:a16="http://schemas.microsoft.com/office/drawing/2014/main" id="{5E981A26-BBDB-4570-B9C4-FC2C1D85755F}"/>
            </a:ext>
          </a:extLst>
        </xdr:cNvPr>
        <xdr:cNvSpPr/>
      </xdr:nvSpPr>
      <xdr:spPr>
        <a:xfrm>
          <a:off x="85725" y="809529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255</xdr:row>
      <xdr:rowOff>76201</xdr:rowOff>
    </xdr:from>
    <xdr:to>
      <xdr:col>4</xdr:col>
      <xdr:colOff>57150</xdr:colOff>
      <xdr:row>259</xdr:row>
      <xdr:rowOff>38101</xdr:rowOff>
    </xdr:to>
    <xdr:sp macro="" textlink="">
      <xdr:nvSpPr>
        <xdr:cNvPr id="126" name="Rectangle 125">
          <a:extLst>
            <a:ext uri="{FF2B5EF4-FFF2-40B4-BE49-F238E27FC236}">
              <a16:creationId xmlns:a16="http://schemas.microsoft.com/office/drawing/2014/main" id="{ED06AA91-C9CB-492B-A9EF-4F9EF1F9E540}"/>
            </a:ext>
          </a:extLst>
        </xdr:cNvPr>
        <xdr:cNvSpPr/>
      </xdr:nvSpPr>
      <xdr:spPr>
        <a:xfrm>
          <a:off x="85725" y="821340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261</xdr:row>
      <xdr:rowOff>123825</xdr:rowOff>
    </xdr:from>
    <xdr:to>
      <xdr:col>4</xdr:col>
      <xdr:colOff>76200</xdr:colOff>
      <xdr:row>270</xdr:row>
      <xdr:rowOff>9525</xdr:rowOff>
    </xdr:to>
    <xdr:sp macro="" textlink="">
      <xdr:nvSpPr>
        <xdr:cNvPr id="127" name="Rectangle 126">
          <a:extLst>
            <a:ext uri="{FF2B5EF4-FFF2-40B4-BE49-F238E27FC236}">
              <a16:creationId xmlns:a16="http://schemas.microsoft.com/office/drawing/2014/main" id="{FC85D6FA-DA0A-40DA-8835-1BE0DB3B7A4D}"/>
            </a:ext>
          </a:extLst>
        </xdr:cNvPr>
        <xdr:cNvSpPr/>
      </xdr:nvSpPr>
      <xdr:spPr>
        <a:xfrm>
          <a:off x="104775" y="8333422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249</xdr:row>
      <xdr:rowOff>38100</xdr:rowOff>
    </xdr:from>
    <xdr:to>
      <xdr:col>8</xdr:col>
      <xdr:colOff>333375</xdr:colOff>
      <xdr:row>251</xdr:row>
      <xdr:rowOff>161925</xdr:rowOff>
    </xdr:to>
    <xdr:sp macro="" textlink="">
      <xdr:nvSpPr>
        <xdr:cNvPr id="128" name="Rectangle 127">
          <a:extLst>
            <a:ext uri="{FF2B5EF4-FFF2-40B4-BE49-F238E27FC236}">
              <a16:creationId xmlns:a16="http://schemas.microsoft.com/office/drawing/2014/main" id="{08FB36A8-EC82-4401-A107-9068CEF1CCF3}"/>
            </a:ext>
          </a:extLst>
        </xdr:cNvPr>
        <xdr:cNvSpPr/>
      </xdr:nvSpPr>
      <xdr:spPr>
        <a:xfrm>
          <a:off x="3028950" y="80933925"/>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253</xdr:row>
      <xdr:rowOff>76201</xdr:rowOff>
    </xdr:from>
    <xdr:to>
      <xdr:col>8</xdr:col>
      <xdr:colOff>352425</xdr:colOff>
      <xdr:row>257</xdr:row>
      <xdr:rowOff>38101</xdr:rowOff>
    </xdr:to>
    <xdr:sp macro="" textlink="">
      <xdr:nvSpPr>
        <xdr:cNvPr id="129" name="Rectangle 128">
          <a:extLst>
            <a:ext uri="{FF2B5EF4-FFF2-40B4-BE49-F238E27FC236}">
              <a16:creationId xmlns:a16="http://schemas.microsoft.com/office/drawing/2014/main" id="{FD46F2CE-2A31-44B5-8C42-95FFAE05C249}"/>
            </a:ext>
          </a:extLst>
        </xdr:cNvPr>
        <xdr:cNvSpPr/>
      </xdr:nvSpPr>
      <xdr:spPr>
        <a:xfrm>
          <a:off x="3028950" y="81743551"/>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259</xdr:row>
      <xdr:rowOff>104775</xdr:rowOff>
    </xdr:from>
    <xdr:to>
      <xdr:col>8</xdr:col>
      <xdr:colOff>352425</xdr:colOff>
      <xdr:row>261</xdr:row>
      <xdr:rowOff>171450</xdr:rowOff>
    </xdr:to>
    <xdr:sp macro="" textlink="">
      <xdr:nvSpPr>
        <xdr:cNvPr id="130" name="Rectangle 129">
          <a:extLst>
            <a:ext uri="{FF2B5EF4-FFF2-40B4-BE49-F238E27FC236}">
              <a16:creationId xmlns:a16="http://schemas.microsoft.com/office/drawing/2014/main" id="{549E05CF-24FA-45A4-96C9-B494D4F72937}"/>
            </a:ext>
          </a:extLst>
        </xdr:cNvPr>
        <xdr:cNvSpPr/>
      </xdr:nvSpPr>
      <xdr:spPr>
        <a:xfrm>
          <a:off x="3019426" y="82924650"/>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263</xdr:row>
      <xdr:rowOff>28575</xdr:rowOff>
    </xdr:from>
    <xdr:to>
      <xdr:col>6</xdr:col>
      <xdr:colOff>171449</xdr:colOff>
      <xdr:row>264</xdr:row>
      <xdr:rowOff>171450</xdr:rowOff>
    </xdr:to>
    <xdr:sp macro="" textlink="">
      <xdr:nvSpPr>
        <xdr:cNvPr id="131" name="Rectangle 130">
          <a:extLst>
            <a:ext uri="{FF2B5EF4-FFF2-40B4-BE49-F238E27FC236}">
              <a16:creationId xmlns:a16="http://schemas.microsoft.com/office/drawing/2014/main" id="{F4FF92A7-3AFB-4418-9FB5-273D482D83DE}"/>
            </a:ext>
          </a:extLst>
        </xdr:cNvPr>
        <xdr:cNvSpPr/>
      </xdr:nvSpPr>
      <xdr:spPr>
        <a:xfrm>
          <a:off x="3067050" y="836199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8</xdr:col>
      <xdr:colOff>485775</xdr:colOff>
      <xdr:row>245</xdr:row>
      <xdr:rowOff>180975</xdr:rowOff>
    </xdr:from>
    <xdr:to>
      <xdr:col>13</xdr:col>
      <xdr:colOff>552450</xdr:colOff>
      <xdr:row>264</xdr:row>
      <xdr:rowOff>114301</xdr:rowOff>
    </xdr:to>
    <xdr:sp macro="" textlink="">
      <xdr:nvSpPr>
        <xdr:cNvPr id="132" name="Rectangle 131">
          <a:extLst>
            <a:ext uri="{FF2B5EF4-FFF2-40B4-BE49-F238E27FC236}">
              <a16:creationId xmlns:a16="http://schemas.microsoft.com/office/drawing/2014/main" id="{BCA232A8-78FE-431A-932E-3B8461F413D4}"/>
            </a:ext>
          </a:extLst>
        </xdr:cNvPr>
        <xdr:cNvSpPr/>
      </xdr:nvSpPr>
      <xdr:spPr>
        <a:xfrm>
          <a:off x="5362575" y="80305275"/>
          <a:ext cx="3114675" cy="359092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a:solidFill>
                <a:schemeClr val="lt1"/>
              </a:solidFill>
              <a:effectLst/>
              <a:latin typeface="+mn-lt"/>
              <a:ea typeface="+mn-ea"/>
              <a:cs typeface="+mn-cs"/>
            </a:rPr>
            <a:t>Purpose: </a:t>
          </a:r>
          <a:r>
            <a:rPr lang="en-US"/>
            <a:t>The </a:t>
          </a:r>
          <a:r>
            <a:rPr lang="en-US" b="1"/>
            <a:t>Health Professions Expo</a:t>
          </a:r>
          <a:r>
            <a:rPr lang="en-US"/>
            <a:t> is designed to connect students with representatives from various health professional schools, volunteer and clinical experience providers, and exam preparation services. The event aims to inform and prepare students for careers in health professions by offering insights into programs, admissions processes, and opportunities available in the healthcare field.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b="1"/>
            <a:t>Activities</a:t>
          </a:r>
          <a:r>
            <a:rPr lang="en-US"/>
            <a:t>:</a:t>
          </a:r>
        </a:p>
        <a:p>
          <a:r>
            <a:rPr lang="en-US"/>
            <a:t>Engagement with representatives from health professional schools​</a:t>
          </a:r>
        </a:p>
        <a:p>
          <a:r>
            <a:rPr lang="en-US"/>
            <a:t>Information on volunteer and clinical experiences​</a:t>
          </a:r>
        </a:p>
        <a:p>
          <a:r>
            <a:rPr lang="en-US"/>
            <a:t>Details about exam preparation services</a:t>
          </a:r>
        </a:p>
        <a:p>
          <a:r>
            <a:rPr lang="en-US"/>
            <a:t>Opportunities to connect with health-related clubs and organizations</a:t>
          </a:r>
        </a:p>
        <a:p>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a:t>Student Union Memorial Center Grand Ballroom, University of Arizona</a:t>
          </a:r>
          <a:endParaRPr lang="en-US" sz="1100"/>
        </a:p>
      </xdr:txBody>
    </xdr:sp>
    <xdr:clientData/>
  </xdr:twoCellAnchor>
  <xdr:twoCellAnchor>
    <xdr:from>
      <xdr:col>0</xdr:col>
      <xdr:colOff>76199</xdr:colOff>
      <xdr:row>271</xdr:row>
      <xdr:rowOff>38101</xdr:rowOff>
    </xdr:from>
    <xdr:to>
      <xdr:col>4</xdr:col>
      <xdr:colOff>95250</xdr:colOff>
      <xdr:row>279</xdr:row>
      <xdr:rowOff>152400</xdr:rowOff>
    </xdr:to>
    <xdr:sp macro="" textlink="">
      <xdr:nvSpPr>
        <xdr:cNvPr id="133" name="Rectangle 132">
          <a:extLst>
            <a:ext uri="{FF2B5EF4-FFF2-40B4-BE49-F238E27FC236}">
              <a16:creationId xmlns:a16="http://schemas.microsoft.com/office/drawing/2014/main" id="{9B56CDBA-59D6-4579-A8A8-69ABFB79616C}"/>
            </a:ext>
          </a:extLst>
        </xdr:cNvPr>
        <xdr:cNvSpPr/>
      </xdr:nvSpPr>
      <xdr:spPr>
        <a:xfrm>
          <a:off x="76199" y="85153501"/>
          <a:ext cx="2457451" cy="163829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Free for attendees but not</a:t>
          </a:r>
          <a:r>
            <a:rPr lang="en-US" b="1" baseline="0"/>
            <a:t> sure for us. Potentially free also but we would want to consider costs in raffles and stuff.</a:t>
          </a:r>
          <a:endParaRPr lang="en-US"/>
        </a:p>
      </xdr:txBody>
    </xdr:sp>
    <xdr:clientData/>
  </xdr:twoCellAnchor>
  <xdr:twoCellAnchor>
    <xdr:from>
      <xdr:col>4</xdr:col>
      <xdr:colOff>171451</xdr:colOff>
      <xdr:row>266</xdr:row>
      <xdr:rowOff>47625</xdr:rowOff>
    </xdr:from>
    <xdr:to>
      <xdr:col>8</xdr:col>
      <xdr:colOff>342901</xdr:colOff>
      <xdr:row>281</xdr:row>
      <xdr:rowOff>133350</xdr:rowOff>
    </xdr:to>
    <xdr:sp macro="" textlink="">
      <xdr:nvSpPr>
        <xdr:cNvPr id="134" name="Rectangle 133">
          <a:extLst>
            <a:ext uri="{FF2B5EF4-FFF2-40B4-BE49-F238E27FC236}">
              <a16:creationId xmlns:a16="http://schemas.microsoft.com/office/drawing/2014/main" id="{5912FFA5-5669-468E-B438-46EB55EFF57A}"/>
            </a:ext>
          </a:extLst>
        </xdr:cNvPr>
        <xdr:cNvSpPr/>
      </xdr:nvSpPr>
      <xdr:spPr>
        <a:xfrm>
          <a:off x="2609851" y="84210525"/>
          <a:ext cx="2609850" cy="29432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The primary audience for the Health Professions Expo includes:​</a:t>
          </a:r>
        </a:p>
        <a:p>
          <a:endParaRPr lang="en-US"/>
        </a:p>
        <a:p>
          <a:r>
            <a:rPr lang="en-US"/>
            <a:t>University of Arizona students interested in pursuing careers in health professions​</a:t>
          </a:r>
        </a:p>
        <a:p>
          <a:endParaRPr lang="en-US"/>
        </a:p>
        <a:p>
          <a:r>
            <a:rPr lang="en-US"/>
            <a:t>Pre-health students seeking information on medical and professional schools​</a:t>
          </a:r>
        </a:p>
        <a:p>
          <a:endParaRPr lang="en-US"/>
        </a:p>
        <a:p>
          <a:r>
            <a:rPr lang="en-US"/>
            <a:t>Individuals exploring exam preparation options and clinical or volunteer opportunities</a:t>
          </a:r>
        </a:p>
        <a:p>
          <a:endParaRPr lang="en-US" b="0"/>
        </a:p>
      </xdr:txBody>
    </xdr:sp>
    <xdr:clientData/>
  </xdr:twoCellAnchor>
  <xdr:twoCellAnchor>
    <xdr:from>
      <xdr:col>8</xdr:col>
      <xdr:colOff>447675</xdr:colOff>
      <xdr:row>272</xdr:row>
      <xdr:rowOff>66675</xdr:rowOff>
    </xdr:from>
    <xdr:to>
      <xdr:col>13</xdr:col>
      <xdr:colOff>466725</xdr:colOff>
      <xdr:row>283</xdr:row>
      <xdr:rowOff>66675</xdr:rowOff>
    </xdr:to>
    <xdr:sp macro="" textlink="">
      <xdr:nvSpPr>
        <xdr:cNvPr id="135" name="Rectangle 134">
          <a:extLst>
            <a:ext uri="{FF2B5EF4-FFF2-40B4-BE49-F238E27FC236}">
              <a16:creationId xmlns:a16="http://schemas.microsoft.com/office/drawing/2014/main" id="{777C914F-18F6-4317-ABF5-D18E08035D10}"/>
            </a:ext>
          </a:extLst>
        </xdr:cNvPr>
        <xdr:cNvSpPr/>
      </xdr:nvSpPr>
      <xdr:spPr>
        <a:xfrm>
          <a:off x="5324475" y="85372575"/>
          <a:ext cx="3067050" cy="2095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Sante</a:t>
          </a:r>
          <a:r>
            <a:rPr lang="en-US"/>
            <a:t>: Specializing in short-term skilled nursing and rehabilitation services, Sante could benefit from networking with potential future healthcare professionals and exploring collaborative opportunities.​</a:t>
          </a:r>
        </a:p>
        <a:p>
          <a:r>
            <a:rPr lang="en-US" b="1"/>
            <a:t>Aleca</a:t>
          </a:r>
          <a:r>
            <a:rPr lang="en-US"/>
            <a:t>: Aleca's participation could aid in recruiting students interested in these areas and in forming partnerships with educational institutions.​</a:t>
          </a:r>
        </a:p>
        <a:p>
          <a:r>
            <a:rPr lang="en-US" b="1"/>
            <a:t>Alante</a:t>
          </a:r>
          <a:r>
            <a:rPr lang="en-US"/>
            <a:t>:</a:t>
          </a:r>
          <a:r>
            <a:rPr lang="en-US" baseline="0"/>
            <a:t> </a:t>
          </a:r>
          <a:r>
            <a:rPr lang="en-US"/>
            <a:t>Alante could engage with students to discuss career paths and internships within their services.</a:t>
          </a:r>
        </a:p>
      </xdr:txBody>
    </xdr:sp>
    <xdr:clientData/>
  </xdr:twoCellAnchor>
  <xdr:twoCellAnchor>
    <xdr:from>
      <xdr:col>8</xdr:col>
      <xdr:colOff>457200</xdr:colOff>
      <xdr:row>266</xdr:row>
      <xdr:rowOff>28574</xdr:rowOff>
    </xdr:from>
    <xdr:to>
      <xdr:col>12</xdr:col>
      <xdr:colOff>428625</xdr:colOff>
      <xdr:row>270</xdr:row>
      <xdr:rowOff>180975</xdr:rowOff>
    </xdr:to>
    <xdr:sp macro="" textlink="">
      <xdr:nvSpPr>
        <xdr:cNvPr id="136" name="Rectangle 135">
          <a:hlinkClick xmlns:r="http://schemas.openxmlformats.org/officeDocument/2006/relationships" r:id="rId22"/>
          <a:extLst>
            <a:ext uri="{FF2B5EF4-FFF2-40B4-BE49-F238E27FC236}">
              <a16:creationId xmlns:a16="http://schemas.microsoft.com/office/drawing/2014/main" id="{82DEA3B7-9EE8-433A-B988-84C8D7B53E4E}"/>
            </a:ext>
          </a:extLst>
        </xdr:cNvPr>
        <xdr:cNvSpPr/>
      </xdr:nvSpPr>
      <xdr:spPr>
        <a:xfrm>
          <a:off x="5334000" y="84191474"/>
          <a:ext cx="2409825" cy="914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Health Expo | The A Center</a:t>
          </a:r>
          <a:endParaRPr lang="en-US" sz="1100">
            <a:solidFill>
              <a:schemeClr val="bg1"/>
            </a:solidFill>
          </a:endParaRPr>
        </a:p>
      </xdr:txBody>
    </xdr:sp>
    <xdr:clientData/>
  </xdr:twoCellAnchor>
  <xdr:twoCellAnchor>
    <xdr:from>
      <xdr:col>0</xdr:col>
      <xdr:colOff>95250</xdr:colOff>
      <xdr:row>287</xdr:row>
      <xdr:rowOff>95250</xdr:rowOff>
    </xdr:from>
    <xdr:to>
      <xdr:col>0</xdr:col>
      <xdr:colOff>438150</xdr:colOff>
      <xdr:row>289</xdr:row>
      <xdr:rowOff>28575</xdr:rowOff>
    </xdr:to>
    <xdr:sp macro="" textlink="">
      <xdr:nvSpPr>
        <xdr:cNvPr id="137" name="Star: 5 Points 136">
          <a:extLst>
            <a:ext uri="{FF2B5EF4-FFF2-40B4-BE49-F238E27FC236}">
              <a16:creationId xmlns:a16="http://schemas.microsoft.com/office/drawing/2014/main" id="{5871E937-5C4D-4536-BB7F-03FFDC0F0172}"/>
            </a:ext>
          </a:extLst>
        </xdr:cNvPr>
        <xdr:cNvSpPr/>
      </xdr:nvSpPr>
      <xdr:spPr>
        <a:xfrm>
          <a:off x="95250" y="8841105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514350</xdr:colOff>
      <xdr:row>287</xdr:row>
      <xdr:rowOff>114300</xdr:rowOff>
    </xdr:from>
    <xdr:to>
      <xdr:col>1</xdr:col>
      <xdr:colOff>247650</xdr:colOff>
      <xdr:row>289</xdr:row>
      <xdr:rowOff>47625</xdr:rowOff>
    </xdr:to>
    <xdr:sp macro="" textlink="">
      <xdr:nvSpPr>
        <xdr:cNvPr id="138" name="Star: 5 Points 137">
          <a:extLst>
            <a:ext uri="{FF2B5EF4-FFF2-40B4-BE49-F238E27FC236}">
              <a16:creationId xmlns:a16="http://schemas.microsoft.com/office/drawing/2014/main" id="{0560BB73-1995-4840-B928-A45C6A5AF127}"/>
            </a:ext>
          </a:extLst>
        </xdr:cNvPr>
        <xdr:cNvSpPr/>
      </xdr:nvSpPr>
      <xdr:spPr>
        <a:xfrm>
          <a:off x="514350" y="88430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342900</xdr:colOff>
      <xdr:row>287</xdr:row>
      <xdr:rowOff>114300</xdr:rowOff>
    </xdr:from>
    <xdr:to>
      <xdr:col>2</xdr:col>
      <xdr:colOff>76200</xdr:colOff>
      <xdr:row>289</xdr:row>
      <xdr:rowOff>47625</xdr:rowOff>
    </xdr:to>
    <xdr:sp macro="" textlink="">
      <xdr:nvSpPr>
        <xdr:cNvPr id="139" name="Star: 5 Points 138">
          <a:extLst>
            <a:ext uri="{FF2B5EF4-FFF2-40B4-BE49-F238E27FC236}">
              <a16:creationId xmlns:a16="http://schemas.microsoft.com/office/drawing/2014/main" id="{E358D6BF-CBB1-457E-99A7-2C793DEFECE8}"/>
            </a:ext>
          </a:extLst>
        </xdr:cNvPr>
        <xdr:cNvSpPr/>
      </xdr:nvSpPr>
      <xdr:spPr>
        <a:xfrm>
          <a:off x="952500" y="88430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180975</xdr:colOff>
      <xdr:row>287</xdr:row>
      <xdr:rowOff>114300</xdr:rowOff>
    </xdr:from>
    <xdr:to>
      <xdr:col>2</xdr:col>
      <xdr:colOff>523875</xdr:colOff>
      <xdr:row>289</xdr:row>
      <xdr:rowOff>47625</xdr:rowOff>
    </xdr:to>
    <xdr:sp macro="" textlink="">
      <xdr:nvSpPr>
        <xdr:cNvPr id="140" name="Star: 5 Points 139">
          <a:extLst>
            <a:ext uri="{FF2B5EF4-FFF2-40B4-BE49-F238E27FC236}">
              <a16:creationId xmlns:a16="http://schemas.microsoft.com/office/drawing/2014/main" id="{D96572A6-40F9-4671-A830-C2F3E07137A5}"/>
            </a:ext>
          </a:extLst>
        </xdr:cNvPr>
        <xdr:cNvSpPr/>
      </xdr:nvSpPr>
      <xdr:spPr>
        <a:xfrm>
          <a:off x="1400175" y="88430100"/>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287</xdr:row>
      <xdr:rowOff>123825</xdr:rowOff>
    </xdr:from>
    <xdr:to>
      <xdr:col>3</xdr:col>
      <xdr:colOff>342900</xdr:colOff>
      <xdr:row>289</xdr:row>
      <xdr:rowOff>57150</xdr:rowOff>
    </xdr:to>
    <xdr:sp macro="" textlink="">
      <xdr:nvSpPr>
        <xdr:cNvPr id="141" name="Star: 5 Points 140">
          <a:extLst>
            <a:ext uri="{FF2B5EF4-FFF2-40B4-BE49-F238E27FC236}">
              <a16:creationId xmlns:a16="http://schemas.microsoft.com/office/drawing/2014/main" id="{5C31291E-FC62-4C42-BD12-49E11A899E77}"/>
            </a:ext>
          </a:extLst>
        </xdr:cNvPr>
        <xdr:cNvSpPr/>
      </xdr:nvSpPr>
      <xdr:spPr>
        <a:xfrm>
          <a:off x="1828800" y="88439625"/>
          <a:ext cx="342900" cy="314325"/>
        </a:xfrm>
        <a:prstGeom prst="star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291</xdr:row>
      <xdr:rowOff>57151</xdr:rowOff>
    </xdr:from>
    <xdr:to>
      <xdr:col>4</xdr:col>
      <xdr:colOff>57150</xdr:colOff>
      <xdr:row>295</xdr:row>
      <xdr:rowOff>9526</xdr:rowOff>
    </xdr:to>
    <xdr:sp macro="" textlink="">
      <xdr:nvSpPr>
        <xdr:cNvPr id="142" name="Rectangle 141">
          <a:extLst>
            <a:ext uri="{FF2B5EF4-FFF2-40B4-BE49-F238E27FC236}">
              <a16:creationId xmlns:a16="http://schemas.microsoft.com/office/drawing/2014/main" id="{7745A4D7-5BCA-4645-BB79-587861155FAD}"/>
            </a:ext>
          </a:extLst>
        </xdr:cNvPr>
        <xdr:cNvSpPr/>
      </xdr:nvSpPr>
      <xdr:spPr>
        <a:xfrm>
          <a:off x="85725" y="891444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297</xdr:row>
      <xdr:rowOff>76201</xdr:rowOff>
    </xdr:from>
    <xdr:to>
      <xdr:col>4</xdr:col>
      <xdr:colOff>57150</xdr:colOff>
      <xdr:row>301</xdr:row>
      <xdr:rowOff>38101</xdr:rowOff>
    </xdr:to>
    <xdr:sp macro="" textlink="">
      <xdr:nvSpPr>
        <xdr:cNvPr id="143" name="Rectangle 142">
          <a:extLst>
            <a:ext uri="{FF2B5EF4-FFF2-40B4-BE49-F238E27FC236}">
              <a16:creationId xmlns:a16="http://schemas.microsoft.com/office/drawing/2014/main" id="{ED80B3C6-DF5C-4735-A8A2-9CC334A1CC1B}"/>
            </a:ext>
          </a:extLst>
        </xdr:cNvPr>
        <xdr:cNvSpPr/>
      </xdr:nvSpPr>
      <xdr:spPr>
        <a:xfrm>
          <a:off x="85725" y="90325576"/>
          <a:ext cx="2409825" cy="723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303</xdr:row>
      <xdr:rowOff>123825</xdr:rowOff>
    </xdr:from>
    <xdr:to>
      <xdr:col>4</xdr:col>
      <xdr:colOff>76200</xdr:colOff>
      <xdr:row>312</xdr:row>
      <xdr:rowOff>9525</xdr:rowOff>
    </xdr:to>
    <xdr:sp macro="" textlink="">
      <xdr:nvSpPr>
        <xdr:cNvPr id="144" name="Rectangle 143">
          <a:extLst>
            <a:ext uri="{FF2B5EF4-FFF2-40B4-BE49-F238E27FC236}">
              <a16:creationId xmlns:a16="http://schemas.microsoft.com/office/drawing/2014/main" id="{F16BD4B9-ABE1-4031-8A30-1C0EA061FAC4}"/>
            </a:ext>
          </a:extLst>
        </xdr:cNvPr>
        <xdr:cNvSpPr/>
      </xdr:nvSpPr>
      <xdr:spPr>
        <a:xfrm>
          <a:off x="104775" y="91525725"/>
          <a:ext cx="2409825" cy="160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291</xdr:row>
      <xdr:rowOff>38100</xdr:rowOff>
    </xdr:from>
    <xdr:to>
      <xdr:col>8</xdr:col>
      <xdr:colOff>333375</xdr:colOff>
      <xdr:row>293</xdr:row>
      <xdr:rowOff>161925</xdr:rowOff>
    </xdr:to>
    <xdr:sp macro="" textlink="">
      <xdr:nvSpPr>
        <xdr:cNvPr id="145" name="Rectangle 144">
          <a:extLst>
            <a:ext uri="{FF2B5EF4-FFF2-40B4-BE49-F238E27FC236}">
              <a16:creationId xmlns:a16="http://schemas.microsoft.com/office/drawing/2014/main" id="{F92D5F57-4A43-4E0B-B31F-2A38D956C436}"/>
            </a:ext>
          </a:extLst>
        </xdr:cNvPr>
        <xdr:cNvSpPr/>
      </xdr:nvSpPr>
      <xdr:spPr>
        <a:xfrm>
          <a:off x="3028950" y="89125425"/>
          <a:ext cx="2181225" cy="514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590550</xdr:colOff>
      <xdr:row>295</xdr:row>
      <xdr:rowOff>76201</xdr:rowOff>
    </xdr:from>
    <xdr:to>
      <xdr:col>8</xdr:col>
      <xdr:colOff>352425</xdr:colOff>
      <xdr:row>299</xdr:row>
      <xdr:rowOff>38101</xdr:rowOff>
    </xdr:to>
    <xdr:sp macro="" textlink="">
      <xdr:nvSpPr>
        <xdr:cNvPr id="146" name="Rectangle 145">
          <a:extLst>
            <a:ext uri="{FF2B5EF4-FFF2-40B4-BE49-F238E27FC236}">
              <a16:creationId xmlns:a16="http://schemas.microsoft.com/office/drawing/2014/main" id="{0F7F3646-AE33-4632-BA98-B7EF744F6309}"/>
            </a:ext>
          </a:extLst>
        </xdr:cNvPr>
        <xdr:cNvSpPr/>
      </xdr:nvSpPr>
      <xdr:spPr>
        <a:xfrm>
          <a:off x="3028950" y="89935051"/>
          <a:ext cx="2200275"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581026</xdr:colOff>
      <xdr:row>301</xdr:row>
      <xdr:rowOff>104775</xdr:rowOff>
    </xdr:from>
    <xdr:to>
      <xdr:col>8</xdr:col>
      <xdr:colOff>352425</xdr:colOff>
      <xdr:row>303</xdr:row>
      <xdr:rowOff>171450</xdr:rowOff>
    </xdr:to>
    <xdr:sp macro="" textlink="">
      <xdr:nvSpPr>
        <xdr:cNvPr id="147" name="Rectangle 146">
          <a:extLst>
            <a:ext uri="{FF2B5EF4-FFF2-40B4-BE49-F238E27FC236}">
              <a16:creationId xmlns:a16="http://schemas.microsoft.com/office/drawing/2014/main" id="{6EAB5CA0-081C-48DB-AF38-2AE03CC2D012}"/>
            </a:ext>
          </a:extLst>
        </xdr:cNvPr>
        <xdr:cNvSpPr/>
      </xdr:nvSpPr>
      <xdr:spPr>
        <a:xfrm>
          <a:off x="3019426" y="91116150"/>
          <a:ext cx="2209799"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chemeClr val="lt1"/>
              </a:solidFill>
              <a:effectLst/>
              <a:latin typeface="+mn-lt"/>
              <a:ea typeface="+mn-ea"/>
              <a:cs typeface="+mn-cs"/>
            </a:rPr>
            <a:t>Melissa McCoy Submitted Event Request</a:t>
          </a:r>
          <a:endParaRPr lang="en-US" sz="1100"/>
        </a:p>
      </xdr:txBody>
    </xdr:sp>
    <xdr:clientData/>
  </xdr:twoCellAnchor>
  <xdr:twoCellAnchor>
    <xdr:from>
      <xdr:col>5</xdr:col>
      <xdr:colOff>19050</xdr:colOff>
      <xdr:row>305</xdr:row>
      <xdr:rowOff>28575</xdr:rowOff>
    </xdr:from>
    <xdr:to>
      <xdr:col>6</xdr:col>
      <xdr:colOff>171449</xdr:colOff>
      <xdr:row>306</xdr:row>
      <xdr:rowOff>171450</xdr:rowOff>
    </xdr:to>
    <xdr:sp macro="" textlink="">
      <xdr:nvSpPr>
        <xdr:cNvPr id="148" name="Rectangle 147">
          <a:extLst>
            <a:ext uri="{FF2B5EF4-FFF2-40B4-BE49-F238E27FC236}">
              <a16:creationId xmlns:a16="http://schemas.microsoft.com/office/drawing/2014/main" id="{0BBFC630-B7CF-4E3C-BC89-F244788183DD}"/>
            </a:ext>
          </a:extLst>
        </xdr:cNvPr>
        <xdr:cNvSpPr/>
      </xdr:nvSpPr>
      <xdr:spPr>
        <a:xfrm>
          <a:off x="3067050" y="91811475"/>
          <a:ext cx="761999"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Unknown</a:t>
          </a:r>
        </a:p>
      </xdr:txBody>
    </xdr:sp>
    <xdr:clientData/>
  </xdr:twoCellAnchor>
  <xdr:twoCellAnchor>
    <xdr:from>
      <xdr:col>8</xdr:col>
      <xdr:colOff>485775</xdr:colOff>
      <xdr:row>287</xdr:row>
      <xdr:rowOff>180975</xdr:rowOff>
    </xdr:from>
    <xdr:to>
      <xdr:col>13</xdr:col>
      <xdr:colOff>552450</xdr:colOff>
      <xdr:row>307</xdr:row>
      <xdr:rowOff>180975</xdr:rowOff>
    </xdr:to>
    <xdr:sp macro="" textlink="">
      <xdr:nvSpPr>
        <xdr:cNvPr id="149" name="Rectangle 148">
          <a:extLst>
            <a:ext uri="{FF2B5EF4-FFF2-40B4-BE49-F238E27FC236}">
              <a16:creationId xmlns:a16="http://schemas.microsoft.com/office/drawing/2014/main" id="{5D1B7420-9451-43EC-9198-56EB6A837878}"/>
            </a:ext>
          </a:extLst>
        </xdr:cNvPr>
        <xdr:cNvSpPr/>
      </xdr:nvSpPr>
      <xdr:spPr>
        <a:xfrm>
          <a:off x="5362575" y="88496775"/>
          <a:ext cx="3114675" cy="38481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a:solidFill>
                <a:schemeClr val="lt1"/>
              </a:solidFill>
              <a:effectLst/>
              <a:latin typeface="+mn-lt"/>
              <a:ea typeface="+mn-ea"/>
              <a:cs typeface="+mn-cs"/>
            </a:rPr>
            <a:t>Purpose: </a:t>
          </a:r>
          <a:r>
            <a:rPr lang="en-US"/>
            <a:t>The </a:t>
          </a:r>
          <a:r>
            <a:rPr lang="en-US" b="1"/>
            <a:t>APTA Oregon Chapter Annual Conference</a:t>
          </a:r>
          <a:r>
            <a:rPr lang="en-US"/>
            <a:t> aims to advance the field of physical therapy by providing educational sessions, networking opportunities, and exposure to the latest industry innovations. It serves as a platform for physical therapy professionals to enhance their knowledge, skills, and professional connections.​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lt1"/>
            </a:solidFill>
            <a:effectLst/>
            <a:latin typeface="+mn-lt"/>
            <a:ea typeface="+mn-ea"/>
            <a:cs typeface="+mn-cs"/>
          </a:endParaRPr>
        </a:p>
        <a:p>
          <a:r>
            <a:rPr lang="en-US" sz="1100" b="1" i="0">
              <a:solidFill>
                <a:schemeClr val="lt1"/>
              </a:solidFill>
              <a:effectLst/>
              <a:latin typeface="+mn-lt"/>
              <a:ea typeface="+mn-ea"/>
              <a:cs typeface="+mn-cs"/>
            </a:rPr>
            <a:t>Description</a:t>
          </a:r>
          <a:r>
            <a:rPr lang="en-US" sz="1100" b="0" i="0">
              <a:solidFill>
                <a:schemeClr val="lt1"/>
              </a:solidFill>
              <a:effectLst/>
              <a:latin typeface="+mn-lt"/>
              <a:ea typeface="+mn-ea"/>
              <a:cs typeface="+mn-cs"/>
            </a:rPr>
            <a:t>: </a:t>
          </a:r>
        </a:p>
        <a:p>
          <a:r>
            <a:rPr lang="en-US" b="1"/>
            <a:t>Keynote Speaker</a:t>
          </a:r>
          <a:r>
            <a:rPr lang="en-US"/>
            <a:t>: Amy Lafko, MSPT, MBA, who specializes in leadership development and organizational growth.​</a:t>
          </a:r>
          <a:r>
            <a:rPr lang="en-US">
              <a:hlinkClick xmlns:r="http://schemas.openxmlformats.org/officeDocument/2006/relationships" r:id=""/>
            </a:rPr>
            <a:t>APTA Oregon</a:t>
          </a:r>
          <a:endParaRPr lang="en-US"/>
        </a:p>
        <a:p>
          <a:r>
            <a:rPr lang="en-US" b="1"/>
            <a:t>Sessions</a:t>
          </a:r>
          <a:r>
            <a:rPr lang="en-US"/>
            <a:t>: The conference featured various speakers discussing topics pertinent to physical therapy, including advancements in treatment methodologies and patient care strategies.​</a:t>
          </a:r>
        </a:p>
        <a:p>
          <a:endParaRPr lang="en-US" sz="1100" b="0" i="0">
            <a:solidFill>
              <a:schemeClr val="lt1"/>
            </a:solidFill>
            <a:effectLst/>
            <a:latin typeface="+mn-lt"/>
            <a:ea typeface="+mn-ea"/>
            <a:cs typeface="+mn-cs"/>
          </a:endParaRPr>
        </a:p>
        <a:p>
          <a:r>
            <a:rPr lang="en-US" sz="1100" b="1" i="0">
              <a:solidFill>
                <a:schemeClr val="lt1"/>
              </a:solidFill>
              <a:effectLst/>
              <a:latin typeface="+mn-lt"/>
              <a:ea typeface="+mn-ea"/>
              <a:cs typeface="+mn-cs"/>
            </a:rPr>
            <a:t>Location</a:t>
          </a:r>
          <a:r>
            <a:rPr lang="en-US" sz="1100" b="0" i="0">
              <a:solidFill>
                <a:schemeClr val="lt1"/>
              </a:solidFill>
              <a:effectLst/>
              <a:latin typeface="+mn-lt"/>
              <a:ea typeface="+mn-ea"/>
              <a:cs typeface="+mn-cs"/>
            </a:rPr>
            <a:t>: </a:t>
          </a:r>
          <a:r>
            <a:rPr lang="en-US"/>
            <a:t>Providence Willamette Falls Community Conference Center, Oregon</a:t>
          </a:r>
        </a:p>
        <a:p>
          <a:endParaRPr lang="en-US"/>
        </a:p>
        <a:p>
          <a:r>
            <a:rPr lang="en-US" sz="1100" b="1"/>
            <a:t>Additional Notes</a:t>
          </a:r>
          <a:r>
            <a:rPr lang="en-US" sz="1100"/>
            <a:t>: Melissa</a:t>
          </a:r>
          <a:r>
            <a:rPr lang="en-US" sz="1100" baseline="0"/>
            <a:t> would like to attend it next year. Good recruiting event for our oregon location</a:t>
          </a:r>
          <a:endParaRPr lang="en-US" sz="1100"/>
        </a:p>
      </xdr:txBody>
    </xdr:sp>
    <xdr:clientData/>
  </xdr:twoCellAnchor>
  <xdr:twoCellAnchor>
    <xdr:from>
      <xdr:col>0</xdr:col>
      <xdr:colOff>76199</xdr:colOff>
      <xdr:row>313</xdr:row>
      <xdr:rowOff>38101</xdr:rowOff>
    </xdr:from>
    <xdr:to>
      <xdr:col>4</xdr:col>
      <xdr:colOff>95250</xdr:colOff>
      <xdr:row>321</xdr:row>
      <xdr:rowOff>152400</xdr:rowOff>
    </xdr:to>
    <xdr:sp macro="" textlink="">
      <xdr:nvSpPr>
        <xdr:cNvPr id="150" name="Rectangle 149">
          <a:extLst>
            <a:ext uri="{FF2B5EF4-FFF2-40B4-BE49-F238E27FC236}">
              <a16:creationId xmlns:a16="http://schemas.microsoft.com/office/drawing/2014/main" id="{62CF8343-C048-4B3D-8909-41381897E9C0}"/>
            </a:ext>
          </a:extLst>
        </xdr:cNvPr>
        <xdr:cNvSpPr/>
      </xdr:nvSpPr>
      <xdr:spPr>
        <a:xfrm>
          <a:off x="76199" y="93345001"/>
          <a:ext cx="2457451" cy="163829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0" i="0">
              <a:solidFill>
                <a:schemeClr val="lt1"/>
              </a:solidFill>
              <a:effectLst/>
              <a:latin typeface="+mn-lt"/>
              <a:ea typeface="+mn-ea"/>
              <a:cs typeface="+mn-cs"/>
            </a:rPr>
            <a:t>PT Member $225</a:t>
          </a:r>
          <a:br>
            <a:rPr lang="en-US" sz="1100" b="1" i="0">
              <a:solidFill>
                <a:schemeClr val="lt1"/>
              </a:solidFill>
              <a:effectLst/>
              <a:latin typeface="+mn-lt"/>
              <a:ea typeface="+mn-ea"/>
              <a:cs typeface="+mn-cs"/>
            </a:rPr>
          </a:br>
          <a:r>
            <a:rPr lang="en-US" sz="1100" b="0" i="0">
              <a:solidFill>
                <a:schemeClr val="lt1"/>
              </a:solidFill>
              <a:effectLst/>
              <a:latin typeface="+mn-lt"/>
              <a:ea typeface="+mn-ea"/>
              <a:cs typeface="+mn-cs"/>
            </a:rPr>
            <a:t>PTA Member $175</a:t>
          </a:r>
          <a:br>
            <a:rPr lang="en-US" sz="1100" b="1" i="0">
              <a:solidFill>
                <a:schemeClr val="lt1"/>
              </a:solidFill>
              <a:effectLst/>
              <a:latin typeface="+mn-lt"/>
              <a:ea typeface="+mn-ea"/>
              <a:cs typeface="+mn-cs"/>
            </a:rPr>
          </a:br>
          <a:r>
            <a:rPr lang="en-US" sz="1100" b="0" i="0">
              <a:solidFill>
                <a:schemeClr val="lt1"/>
              </a:solidFill>
              <a:effectLst/>
              <a:latin typeface="+mn-lt"/>
              <a:ea typeface="+mn-ea"/>
              <a:cs typeface="+mn-cs"/>
            </a:rPr>
            <a:t>Student Member $99</a:t>
          </a:r>
          <a:r>
            <a:rPr lang="en-US" sz="1100" b="1" i="0">
              <a:solidFill>
                <a:schemeClr val="lt1"/>
              </a:solidFill>
              <a:effectLst/>
              <a:latin typeface="+mn-lt"/>
              <a:ea typeface="+mn-ea"/>
              <a:cs typeface="+mn-cs"/>
            </a:rPr>
            <a:t> </a:t>
          </a:r>
          <a:endParaRPr lang="en-US" sz="1100" b="0" i="0">
            <a:solidFill>
              <a:schemeClr val="lt1"/>
            </a:solidFill>
            <a:effectLst/>
            <a:latin typeface="+mn-lt"/>
            <a:ea typeface="+mn-ea"/>
            <a:cs typeface="+mn-cs"/>
          </a:endParaRPr>
        </a:p>
        <a:p>
          <a:r>
            <a:rPr lang="en-US" sz="1100" b="0" i="0">
              <a:solidFill>
                <a:schemeClr val="lt1"/>
              </a:solidFill>
              <a:effectLst/>
              <a:latin typeface="+mn-lt"/>
              <a:ea typeface="+mn-ea"/>
              <a:cs typeface="+mn-cs"/>
            </a:rPr>
            <a:t>PT Non-Member $325</a:t>
          </a:r>
          <a:br>
            <a:rPr lang="en-US" sz="1100" b="1" i="0">
              <a:solidFill>
                <a:schemeClr val="lt1"/>
              </a:solidFill>
              <a:effectLst/>
              <a:latin typeface="+mn-lt"/>
              <a:ea typeface="+mn-ea"/>
              <a:cs typeface="+mn-cs"/>
            </a:rPr>
          </a:br>
          <a:r>
            <a:rPr lang="en-US" sz="1100" b="0" i="0">
              <a:solidFill>
                <a:schemeClr val="lt1"/>
              </a:solidFill>
              <a:effectLst/>
              <a:latin typeface="+mn-lt"/>
              <a:ea typeface="+mn-ea"/>
              <a:cs typeface="+mn-cs"/>
            </a:rPr>
            <a:t>PTA Non-Member $250</a:t>
          </a:r>
          <a:br>
            <a:rPr lang="en-US" sz="1100" b="1" i="0">
              <a:solidFill>
                <a:schemeClr val="lt1"/>
              </a:solidFill>
              <a:effectLst/>
              <a:latin typeface="+mn-lt"/>
              <a:ea typeface="+mn-ea"/>
              <a:cs typeface="+mn-cs"/>
            </a:rPr>
          </a:br>
          <a:r>
            <a:rPr lang="en-US" sz="1100" b="0" i="0">
              <a:solidFill>
                <a:schemeClr val="lt1"/>
              </a:solidFill>
              <a:effectLst/>
              <a:latin typeface="+mn-lt"/>
              <a:ea typeface="+mn-ea"/>
              <a:cs typeface="+mn-cs"/>
            </a:rPr>
            <a:t>Student Non-Member $149</a:t>
          </a:r>
          <a:br>
            <a:rPr lang="en-US" sz="1100" b="1" i="0">
              <a:solidFill>
                <a:schemeClr val="lt1"/>
              </a:solidFill>
              <a:effectLst/>
              <a:latin typeface="+mn-lt"/>
              <a:ea typeface="+mn-ea"/>
              <a:cs typeface="+mn-cs"/>
            </a:rPr>
          </a:br>
          <a:r>
            <a:rPr lang="en-US" sz="1100" b="0" i="0">
              <a:solidFill>
                <a:schemeClr val="lt1"/>
              </a:solidFill>
              <a:effectLst/>
              <a:latin typeface="+mn-lt"/>
              <a:ea typeface="+mn-ea"/>
              <a:cs typeface="+mn-cs"/>
            </a:rPr>
            <a:t>Service Member $195</a:t>
          </a:r>
        </a:p>
      </xdr:txBody>
    </xdr:sp>
    <xdr:clientData/>
  </xdr:twoCellAnchor>
  <xdr:twoCellAnchor>
    <xdr:from>
      <xdr:col>4</xdr:col>
      <xdr:colOff>171451</xdr:colOff>
      <xdr:row>308</xdr:row>
      <xdr:rowOff>47625</xdr:rowOff>
    </xdr:from>
    <xdr:to>
      <xdr:col>8</xdr:col>
      <xdr:colOff>342901</xdr:colOff>
      <xdr:row>323</xdr:row>
      <xdr:rowOff>133350</xdr:rowOff>
    </xdr:to>
    <xdr:sp macro="" textlink="">
      <xdr:nvSpPr>
        <xdr:cNvPr id="151" name="Rectangle 150">
          <a:extLst>
            <a:ext uri="{FF2B5EF4-FFF2-40B4-BE49-F238E27FC236}">
              <a16:creationId xmlns:a16="http://schemas.microsoft.com/office/drawing/2014/main" id="{67213074-A2C5-4891-B08C-F19A6905DD7D}"/>
            </a:ext>
          </a:extLst>
        </xdr:cNvPr>
        <xdr:cNvSpPr/>
      </xdr:nvSpPr>
      <xdr:spPr>
        <a:xfrm>
          <a:off x="2609851" y="92402025"/>
          <a:ext cx="2609850" cy="29432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a:t>Physical Therapists (PTs)​</a:t>
          </a:r>
        </a:p>
        <a:p>
          <a:endParaRPr lang="en-US"/>
        </a:p>
        <a:p>
          <a:r>
            <a:rPr lang="en-US"/>
            <a:t>Physical Therapist Assistants (PTAs)​</a:t>
          </a:r>
        </a:p>
        <a:p>
          <a:endParaRPr lang="en-US"/>
        </a:p>
        <a:p>
          <a:r>
            <a:rPr lang="en-US"/>
            <a:t>Students in the field of physical therapy​</a:t>
          </a:r>
        </a:p>
        <a:p>
          <a:endParaRPr lang="en-US"/>
        </a:p>
        <a:p>
          <a:r>
            <a:rPr lang="en-US"/>
            <a:t>Other healthcare professionals interested in physical therapy advancements​</a:t>
          </a:r>
        </a:p>
        <a:p>
          <a:endParaRPr lang="en-US" b="0"/>
        </a:p>
      </xdr:txBody>
    </xdr:sp>
    <xdr:clientData/>
  </xdr:twoCellAnchor>
  <xdr:twoCellAnchor>
    <xdr:from>
      <xdr:col>8</xdr:col>
      <xdr:colOff>447675</xdr:colOff>
      <xdr:row>314</xdr:row>
      <xdr:rowOff>66675</xdr:rowOff>
    </xdr:from>
    <xdr:to>
      <xdr:col>13</xdr:col>
      <xdr:colOff>466725</xdr:colOff>
      <xdr:row>325</xdr:row>
      <xdr:rowOff>66675</xdr:rowOff>
    </xdr:to>
    <xdr:sp macro="" textlink="">
      <xdr:nvSpPr>
        <xdr:cNvPr id="152" name="Rectangle 151">
          <a:extLst>
            <a:ext uri="{FF2B5EF4-FFF2-40B4-BE49-F238E27FC236}">
              <a16:creationId xmlns:a16="http://schemas.microsoft.com/office/drawing/2014/main" id="{3F136945-8503-43C4-AA3A-C2C9F9EB5FA0}"/>
            </a:ext>
          </a:extLst>
        </xdr:cNvPr>
        <xdr:cNvSpPr/>
      </xdr:nvSpPr>
      <xdr:spPr>
        <a:xfrm>
          <a:off x="5324475" y="93564075"/>
          <a:ext cx="3067050" cy="2095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b="1"/>
            <a:t>Aleca</a:t>
          </a:r>
          <a:r>
            <a:rPr lang="en-US"/>
            <a:t>: Provides home health care, hospice, outpatient therapy, and work injury services. The conference's focus on physical therapy aligns with Aleca's outpatient therapy services, making it beneficial for their team.​</a:t>
          </a:r>
        </a:p>
        <a:p>
          <a:endParaRPr lang="en-US"/>
        </a:p>
        <a:p>
          <a:r>
            <a:rPr lang="en-US" b="1"/>
            <a:t>Alante</a:t>
          </a:r>
          <a:r>
            <a:rPr lang="en-US"/>
            <a:t>: Specializes in chronic care management, palliative care, in-home visits, and work injury programs. Insights from the conference could enhance their rehabilitation services and patient care strategies.</a:t>
          </a:r>
        </a:p>
      </xdr:txBody>
    </xdr:sp>
    <xdr:clientData/>
  </xdr:twoCellAnchor>
  <xdr:twoCellAnchor>
    <xdr:from>
      <xdr:col>8</xdr:col>
      <xdr:colOff>495300</xdr:colOff>
      <xdr:row>309</xdr:row>
      <xdr:rowOff>142874</xdr:rowOff>
    </xdr:from>
    <xdr:to>
      <xdr:col>12</xdr:col>
      <xdr:colOff>466725</xdr:colOff>
      <xdr:row>312</xdr:row>
      <xdr:rowOff>104775</xdr:rowOff>
    </xdr:to>
    <xdr:sp macro="" textlink="">
      <xdr:nvSpPr>
        <xdr:cNvPr id="153" name="Rectangle 152">
          <a:hlinkClick xmlns:r="http://schemas.openxmlformats.org/officeDocument/2006/relationships" r:id="rId23"/>
          <a:extLst>
            <a:ext uri="{FF2B5EF4-FFF2-40B4-BE49-F238E27FC236}">
              <a16:creationId xmlns:a16="http://schemas.microsoft.com/office/drawing/2014/main" id="{55D92C68-24BF-422C-873F-D48B6121A261}"/>
            </a:ext>
          </a:extLst>
        </xdr:cNvPr>
        <xdr:cNvSpPr/>
      </xdr:nvSpPr>
      <xdr:spPr>
        <a:xfrm>
          <a:off x="5372100" y="92687774"/>
          <a:ext cx="2409825" cy="5334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chemeClr val="bg1"/>
              </a:solidFill>
              <a:hlinkClick xmlns:r="http://schemas.openxmlformats.org/officeDocument/2006/relationships" r:id="">
                <a:extLst>
                  <a:ext uri="{A12FA001-AC4F-418D-AE19-62706E023703}">
                    <ahyp:hlinkClr xmlns:ahyp="http://schemas.microsoft.com/office/drawing/2018/hyperlinkcolor" val="tx"/>
                  </a:ext>
                </a:extLst>
              </a:hlinkClick>
            </a:rPr>
            <a:t>2025 Annual Spring Conference - APTA Oregon</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600075</xdr:colOff>
      <xdr:row>0</xdr:row>
      <xdr:rowOff>85725</xdr:rowOff>
    </xdr:from>
    <xdr:to>
      <xdr:col>0</xdr:col>
      <xdr:colOff>1000125</xdr:colOff>
      <xdr:row>0</xdr:row>
      <xdr:rowOff>361950</xdr:rowOff>
    </xdr:to>
    <xdr:sp macro="" textlink="">
      <xdr:nvSpPr>
        <xdr:cNvPr id="40" name="Rectangle: Rounded Corners 39">
          <a:hlinkClick xmlns:r="http://schemas.openxmlformats.org/officeDocument/2006/relationships" r:id="rId1"/>
          <a:extLst>
            <a:ext uri="{FF2B5EF4-FFF2-40B4-BE49-F238E27FC236}">
              <a16:creationId xmlns:a16="http://schemas.microsoft.com/office/drawing/2014/main" id="{C4E95C1A-EBB0-4422-8D3D-D16168CC5709}"/>
            </a:ext>
          </a:extLst>
        </xdr:cNvPr>
        <xdr:cNvSpPr/>
      </xdr:nvSpPr>
      <xdr:spPr>
        <a:xfrm>
          <a:off x="600075" y="8572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xdr:colOff>
      <xdr:row>0</xdr:row>
      <xdr:rowOff>85725</xdr:rowOff>
    </xdr:from>
    <xdr:to>
      <xdr:col>0</xdr:col>
      <xdr:colOff>561974</xdr:colOff>
      <xdr:row>0</xdr:row>
      <xdr:rowOff>361950</xdr:rowOff>
    </xdr:to>
    <xdr:sp macro="" textlink="">
      <xdr:nvSpPr>
        <xdr:cNvPr id="41" name="Rectangle: Rounded Corners 40">
          <a:hlinkClick xmlns:r="http://schemas.openxmlformats.org/officeDocument/2006/relationships" r:id="rId2"/>
          <a:extLst>
            <a:ext uri="{FF2B5EF4-FFF2-40B4-BE49-F238E27FC236}">
              <a16:creationId xmlns:a16="http://schemas.microsoft.com/office/drawing/2014/main" id="{6704555A-8C5A-4EF9-A089-C77229BCB6FB}"/>
            </a:ext>
          </a:extLst>
        </xdr:cNvPr>
        <xdr:cNvSpPr/>
      </xdr:nvSpPr>
      <xdr:spPr>
        <a:xfrm>
          <a:off x="9525" y="8572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1038224</xdr:colOff>
      <xdr:row>0</xdr:row>
      <xdr:rowOff>66675</xdr:rowOff>
    </xdr:from>
    <xdr:to>
      <xdr:col>0</xdr:col>
      <xdr:colOff>1476375</xdr:colOff>
      <xdr:row>0</xdr:row>
      <xdr:rowOff>342900</xdr:rowOff>
    </xdr:to>
    <xdr:sp macro="" textlink="">
      <xdr:nvSpPr>
        <xdr:cNvPr id="42" name="Rectangle: Rounded Corners 41">
          <a:hlinkClick xmlns:r="http://schemas.openxmlformats.org/officeDocument/2006/relationships" r:id="rId3"/>
          <a:extLst>
            <a:ext uri="{FF2B5EF4-FFF2-40B4-BE49-F238E27FC236}">
              <a16:creationId xmlns:a16="http://schemas.microsoft.com/office/drawing/2014/main" id="{F4407038-EE3A-48A2-8463-931E34B099AD}"/>
            </a:ext>
          </a:extLst>
        </xdr:cNvPr>
        <xdr:cNvSpPr/>
      </xdr:nvSpPr>
      <xdr:spPr>
        <a:xfrm>
          <a:off x="1038224" y="66675"/>
          <a:ext cx="4381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3390899</xdr:colOff>
      <xdr:row>0</xdr:row>
      <xdr:rowOff>95250</xdr:rowOff>
    </xdr:from>
    <xdr:to>
      <xdr:col>1</xdr:col>
      <xdr:colOff>238124</xdr:colOff>
      <xdr:row>0</xdr:row>
      <xdr:rowOff>371475</xdr:rowOff>
    </xdr:to>
    <xdr:sp macro="" textlink="">
      <xdr:nvSpPr>
        <xdr:cNvPr id="43" name="Rectangle: Rounded Corners 42">
          <a:hlinkClick xmlns:r="http://schemas.openxmlformats.org/officeDocument/2006/relationships" r:id="rId4"/>
          <a:extLst>
            <a:ext uri="{FF2B5EF4-FFF2-40B4-BE49-F238E27FC236}">
              <a16:creationId xmlns:a16="http://schemas.microsoft.com/office/drawing/2014/main" id="{9AD3E4CD-5A3C-4ABB-9AEA-CE27D0EE56C8}"/>
            </a:ext>
          </a:extLst>
        </xdr:cNvPr>
        <xdr:cNvSpPr/>
      </xdr:nvSpPr>
      <xdr:spPr>
        <a:xfrm>
          <a:off x="3390899"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1</xdr:col>
      <xdr:colOff>285749</xdr:colOff>
      <xdr:row>0</xdr:row>
      <xdr:rowOff>95250</xdr:rowOff>
    </xdr:from>
    <xdr:to>
      <xdr:col>1</xdr:col>
      <xdr:colOff>742949</xdr:colOff>
      <xdr:row>0</xdr:row>
      <xdr:rowOff>371475</xdr:rowOff>
    </xdr:to>
    <xdr:sp macro="" textlink="">
      <xdr:nvSpPr>
        <xdr:cNvPr id="44" name="Rectangle: Rounded Corners 43">
          <a:hlinkClick xmlns:r="http://schemas.openxmlformats.org/officeDocument/2006/relationships" r:id="rId5"/>
          <a:extLst>
            <a:ext uri="{FF2B5EF4-FFF2-40B4-BE49-F238E27FC236}">
              <a16:creationId xmlns:a16="http://schemas.microsoft.com/office/drawing/2014/main" id="{4FE10026-1906-4097-9C9D-1106BE9B689C}"/>
            </a:ext>
          </a:extLst>
        </xdr:cNvPr>
        <xdr:cNvSpPr/>
      </xdr:nvSpPr>
      <xdr:spPr>
        <a:xfrm>
          <a:off x="3867149"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1</xdr:col>
      <xdr:colOff>781048</xdr:colOff>
      <xdr:row>0</xdr:row>
      <xdr:rowOff>104775</xdr:rowOff>
    </xdr:from>
    <xdr:to>
      <xdr:col>1</xdr:col>
      <xdr:colOff>1228725</xdr:colOff>
      <xdr:row>0</xdr:row>
      <xdr:rowOff>381000</xdr:rowOff>
    </xdr:to>
    <xdr:sp macro="" textlink="">
      <xdr:nvSpPr>
        <xdr:cNvPr id="45" name="Rectangle: Rounded Corners 44">
          <a:hlinkClick xmlns:r="http://schemas.openxmlformats.org/officeDocument/2006/relationships" r:id="rId6"/>
          <a:extLst>
            <a:ext uri="{FF2B5EF4-FFF2-40B4-BE49-F238E27FC236}">
              <a16:creationId xmlns:a16="http://schemas.microsoft.com/office/drawing/2014/main" id="{E7DE3772-174C-4F09-BD45-3B272BDBA43B}"/>
            </a:ext>
          </a:extLst>
        </xdr:cNvPr>
        <xdr:cNvSpPr/>
      </xdr:nvSpPr>
      <xdr:spPr>
        <a:xfrm>
          <a:off x="4362448" y="104775"/>
          <a:ext cx="447677"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1</xdr:col>
      <xdr:colOff>1276350</xdr:colOff>
      <xdr:row>0</xdr:row>
      <xdr:rowOff>95250</xdr:rowOff>
    </xdr:from>
    <xdr:to>
      <xdr:col>2</xdr:col>
      <xdr:colOff>38100</xdr:colOff>
      <xdr:row>0</xdr:row>
      <xdr:rowOff>381000</xdr:rowOff>
    </xdr:to>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709E836A-4808-424B-A574-872F5EA7DE5B}"/>
            </a:ext>
          </a:extLst>
        </xdr:cNvPr>
        <xdr:cNvSpPr/>
      </xdr:nvSpPr>
      <xdr:spPr>
        <a:xfrm flipH="1">
          <a:off x="4857750" y="95250"/>
          <a:ext cx="4667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85723</xdr:colOff>
      <xdr:row>0</xdr:row>
      <xdr:rowOff>104775</xdr:rowOff>
    </xdr:from>
    <xdr:to>
      <xdr:col>2</xdr:col>
      <xdr:colOff>561974</xdr:colOff>
      <xdr:row>0</xdr:row>
      <xdr:rowOff>381000</xdr:rowOff>
    </xdr:to>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F224D798-30AF-408B-BCC6-B4416B8AE6BA}"/>
            </a:ext>
          </a:extLst>
        </xdr:cNvPr>
        <xdr:cNvSpPr/>
      </xdr:nvSpPr>
      <xdr:spPr>
        <a:xfrm flipH="1">
          <a:off x="5372098" y="104775"/>
          <a:ext cx="4762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2</xdr:col>
      <xdr:colOff>600074</xdr:colOff>
      <xdr:row>0</xdr:row>
      <xdr:rowOff>95250</xdr:rowOff>
    </xdr:from>
    <xdr:to>
      <xdr:col>2</xdr:col>
      <xdr:colOff>1066800</xdr:colOff>
      <xdr:row>0</xdr:row>
      <xdr:rowOff>371475</xdr:rowOff>
    </xdr:to>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FC1A9765-7C20-4427-804B-5D9ACD63D054}"/>
            </a:ext>
          </a:extLst>
        </xdr:cNvPr>
        <xdr:cNvSpPr/>
      </xdr:nvSpPr>
      <xdr:spPr>
        <a:xfrm>
          <a:off x="5886449" y="95250"/>
          <a:ext cx="466726"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2</xdr:col>
      <xdr:colOff>1095374</xdr:colOff>
      <xdr:row>0</xdr:row>
      <xdr:rowOff>85725</xdr:rowOff>
    </xdr:from>
    <xdr:to>
      <xdr:col>3</xdr:col>
      <xdr:colOff>428624</xdr:colOff>
      <xdr:row>0</xdr:row>
      <xdr:rowOff>361950</xdr:rowOff>
    </xdr:to>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588B51B-9BAF-42A0-8821-E2F4AEEDF5A7}"/>
            </a:ext>
          </a:extLst>
        </xdr:cNvPr>
        <xdr:cNvSpPr/>
      </xdr:nvSpPr>
      <xdr:spPr>
        <a:xfrm>
          <a:off x="6381749" y="85725"/>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476249</xdr:colOff>
      <xdr:row>0</xdr:row>
      <xdr:rowOff>85725</xdr:rowOff>
    </xdr:from>
    <xdr:to>
      <xdr:col>3</xdr:col>
      <xdr:colOff>1047750</xdr:colOff>
      <xdr:row>0</xdr:row>
      <xdr:rowOff>361950</xdr:rowOff>
    </xdr:to>
    <xdr:sp macro="" textlink="">
      <xdr:nvSpPr>
        <xdr:cNvPr id="50" name="Rectangle: Rounded Corners 49">
          <a:hlinkClick xmlns:r="http://schemas.openxmlformats.org/officeDocument/2006/relationships" r:id="rId11"/>
          <a:extLst>
            <a:ext uri="{FF2B5EF4-FFF2-40B4-BE49-F238E27FC236}">
              <a16:creationId xmlns:a16="http://schemas.microsoft.com/office/drawing/2014/main" id="{C6904003-A89B-40EC-9494-E4B48144EBE6}"/>
            </a:ext>
          </a:extLst>
        </xdr:cNvPr>
        <xdr:cNvSpPr/>
      </xdr:nvSpPr>
      <xdr:spPr>
        <a:xfrm>
          <a:off x="7067549" y="85725"/>
          <a:ext cx="571501"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3</xdr:col>
      <xdr:colOff>1095374</xdr:colOff>
      <xdr:row>0</xdr:row>
      <xdr:rowOff>95250</xdr:rowOff>
    </xdr:from>
    <xdr:to>
      <xdr:col>4</xdr:col>
      <xdr:colOff>38099</xdr:colOff>
      <xdr:row>0</xdr:row>
      <xdr:rowOff>371475</xdr:rowOff>
    </xdr:to>
    <xdr:sp macro="" textlink="">
      <xdr:nvSpPr>
        <xdr:cNvPr id="51" name="Rectangle: Rounded Corners 50">
          <a:hlinkClick xmlns:r="http://schemas.openxmlformats.org/officeDocument/2006/relationships" r:id="rId12"/>
          <a:extLst>
            <a:ext uri="{FF2B5EF4-FFF2-40B4-BE49-F238E27FC236}">
              <a16:creationId xmlns:a16="http://schemas.microsoft.com/office/drawing/2014/main" id="{377B8318-E616-4504-80B4-9C790E8106AA}"/>
            </a:ext>
          </a:extLst>
        </xdr:cNvPr>
        <xdr:cNvSpPr/>
      </xdr:nvSpPr>
      <xdr:spPr>
        <a:xfrm>
          <a:off x="7686674" y="95250"/>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95248</xdr:colOff>
      <xdr:row>0</xdr:row>
      <xdr:rowOff>95250</xdr:rowOff>
    </xdr:from>
    <xdr:to>
      <xdr:col>4</xdr:col>
      <xdr:colOff>723899</xdr:colOff>
      <xdr:row>0</xdr:row>
      <xdr:rowOff>371475</xdr:rowOff>
    </xdr:to>
    <xdr:sp macro="" textlink="">
      <xdr:nvSpPr>
        <xdr:cNvPr id="52" name="Rectangle: Rounded Corners 51">
          <a:hlinkClick xmlns:r="http://schemas.openxmlformats.org/officeDocument/2006/relationships" r:id="rId13"/>
          <a:extLst>
            <a:ext uri="{FF2B5EF4-FFF2-40B4-BE49-F238E27FC236}">
              <a16:creationId xmlns:a16="http://schemas.microsoft.com/office/drawing/2014/main" id="{F38021A6-A931-4CA2-BBF1-6EF005E46D57}"/>
            </a:ext>
          </a:extLst>
        </xdr:cNvPr>
        <xdr:cNvSpPr/>
      </xdr:nvSpPr>
      <xdr:spPr>
        <a:xfrm>
          <a:off x="8334373" y="95250"/>
          <a:ext cx="628651"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771525</xdr:colOff>
      <xdr:row>0</xdr:row>
      <xdr:rowOff>104775</xdr:rowOff>
    </xdr:from>
    <xdr:to>
      <xdr:col>5</xdr:col>
      <xdr:colOff>219074</xdr:colOff>
      <xdr:row>0</xdr:row>
      <xdr:rowOff>381000</xdr:rowOff>
    </xdr:to>
    <xdr:sp macro="" textlink="">
      <xdr:nvSpPr>
        <xdr:cNvPr id="53" name="Rectangle: Rounded Corners 52">
          <a:hlinkClick xmlns:r="http://schemas.openxmlformats.org/officeDocument/2006/relationships" r:id="rId14"/>
          <a:extLst>
            <a:ext uri="{FF2B5EF4-FFF2-40B4-BE49-F238E27FC236}">
              <a16:creationId xmlns:a16="http://schemas.microsoft.com/office/drawing/2014/main" id="{2B4F8F65-43AA-46D4-B07E-9682748B32D1}"/>
            </a:ext>
          </a:extLst>
        </xdr:cNvPr>
        <xdr:cNvSpPr/>
      </xdr:nvSpPr>
      <xdr:spPr>
        <a:xfrm>
          <a:off x="9010650" y="104775"/>
          <a:ext cx="685799"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twoCellAnchor>
    <xdr:from>
      <xdr:col>0</xdr:col>
      <xdr:colOff>1514474</xdr:colOff>
      <xdr:row>0</xdr:row>
      <xdr:rowOff>66675</xdr:rowOff>
    </xdr:from>
    <xdr:to>
      <xdr:col>0</xdr:col>
      <xdr:colOff>1962149</xdr:colOff>
      <xdr:row>0</xdr:row>
      <xdr:rowOff>342900</xdr:rowOff>
    </xdr:to>
    <xdr:sp macro="" textlink="">
      <xdr:nvSpPr>
        <xdr:cNvPr id="54" name="Rectangle: Rounded Corners 53">
          <a:hlinkClick xmlns:r="http://schemas.openxmlformats.org/officeDocument/2006/relationships" r:id="rId15"/>
          <a:extLst>
            <a:ext uri="{FF2B5EF4-FFF2-40B4-BE49-F238E27FC236}">
              <a16:creationId xmlns:a16="http://schemas.microsoft.com/office/drawing/2014/main" id="{9833A355-2343-45E6-AAB6-BDEE0E0CBF9C}"/>
            </a:ext>
          </a:extLst>
        </xdr:cNvPr>
        <xdr:cNvSpPr/>
      </xdr:nvSpPr>
      <xdr:spPr>
        <a:xfrm>
          <a:off x="1514474" y="66675"/>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0</xdr:col>
      <xdr:colOff>2009774</xdr:colOff>
      <xdr:row>0</xdr:row>
      <xdr:rowOff>76200</xdr:rowOff>
    </xdr:from>
    <xdr:to>
      <xdr:col>0</xdr:col>
      <xdr:colOff>2419349</xdr:colOff>
      <xdr:row>0</xdr:row>
      <xdr:rowOff>352425</xdr:rowOff>
    </xdr:to>
    <xdr:sp macro="" textlink="">
      <xdr:nvSpPr>
        <xdr:cNvPr id="55" name="Rectangle: Rounded Corners 54">
          <a:hlinkClick xmlns:r="http://schemas.openxmlformats.org/officeDocument/2006/relationships" r:id="rId16"/>
          <a:extLst>
            <a:ext uri="{FF2B5EF4-FFF2-40B4-BE49-F238E27FC236}">
              <a16:creationId xmlns:a16="http://schemas.microsoft.com/office/drawing/2014/main" id="{BCB012B4-E09C-4CEB-85DE-26F4AEC09994}"/>
            </a:ext>
          </a:extLst>
        </xdr:cNvPr>
        <xdr:cNvSpPr/>
      </xdr:nvSpPr>
      <xdr:spPr>
        <a:xfrm>
          <a:off x="2009774" y="76200"/>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0</xdr:col>
      <xdr:colOff>2466975</xdr:colOff>
      <xdr:row>0</xdr:row>
      <xdr:rowOff>85725</xdr:rowOff>
    </xdr:from>
    <xdr:to>
      <xdr:col>0</xdr:col>
      <xdr:colOff>2905125</xdr:colOff>
      <xdr:row>0</xdr:row>
      <xdr:rowOff>361950</xdr:rowOff>
    </xdr:to>
    <xdr:sp macro="" textlink="">
      <xdr:nvSpPr>
        <xdr:cNvPr id="56" name="Rectangle: Rounded Corners 55">
          <a:hlinkClick xmlns:r="http://schemas.openxmlformats.org/officeDocument/2006/relationships" r:id="rId17"/>
          <a:extLst>
            <a:ext uri="{FF2B5EF4-FFF2-40B4-BE49-F238E27FC236}">
              <a16:creationId xmlns:a16="http://schemas.microsoft.com/office/drawing/2014/main" id="{2F2A0D46-36B3-4BD6-B1BA-E765B2EC48E7}"/>
            </a:ext>
          </a:extLst>
        </xdr:cNvPr>
        <xdr:cNvSpPr/>
      </xdr:nvSpPr>
      <xdr:spPr>
        <a:xfrm>
          <a:off x="2466975" y="85725"/>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0</xdr:col>
      <xdr:colOff>2933700</xdr:colOff>
      <xdr:row>0</xdr:row>
      <xdr:rowOff>95250</xdr:rowOff>
    </xdr:from>
    <xdr:to>
      <xdr:col>0</xdr:col>
      <xdr:colOff>3352800</xdr:colOff>
      <xdr:row>0</xdr:row>
      <xdr:rowOff>371475</xdr:rowOff>
    </xdr:to>
    <xdr:sp macro="" textlink="">
      <xdr:nvSpPr>
        <xdr:cNvPr id="57" name="Rectangle: Rounded Corners 56">
          <a:hlinkClick xmlns:r="http://schemas.openxmlformats.org/officeDocument/2006/relationships" r:id="rId18"/>
          <a:extLst>
            <a:ext uri="{FF2B5EF4-FFF2-40B4-BE49-F238E27FC236}">
              <a16:creationId xmlns:a16="http://schemas.microsoft.com/office/drawing/2014/main" id="{407FF344-FA77-4440-A439-17E60F7C6594}"/>
            </a:ext>
          </a:extLst>
        </xdr:cNvPr>
        <xdr:cNvSpPr/>
      </xdr:nvSpPr>
      <xdr:spPr>
        <a:xfrm>
          <a:off x="2933700" y="95250"/>
          <a:ext cx="4191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600075</xdr:colOff>
      <xdr:row>0</xdr:row>
      <xdr:rowOff>85725</xdr:rowOff>
    </xdr:from>
    <xdr:to>
      <xdr:col>0</xdr:col>
      <xdr:colOff>1000125</xdr:colOff>
      <xdr:row>0</xdr:row>
      <xdr:rowOff>361950</xdr:rowOff>
    </xdr:to>
    <xdr:sp macro="" textlink="">
      <xdr:nvSpPr>
        <xdr:cNvPr id="61" name="Rectangle: Rounded Corners 60">
          <a:hlinkClick xmlns:r="http://schemas.openxmlformats.org/officeDocument/2006/relationships" r:id="rId1"/>
          <a:extLst>
            <a:ext uri="{FF2B5EF4-FFF2-40B4-BE49-F238E27FC236}">
              <a16:creationId xmlns:a16="http://schemas.microsoft.com/office/drawing/2014/main" id="{ED16D7C4-FA7C-4873-B15A-4CEC06701FC3}"/>
            </a:ext>
          </a:extLst>
        </xdr:cNvPr>
        <xdr:cNvSpPr/>
      </xdr:nvSpPr>
      <xdr:spPr>
        <a:xfrm>
          <a:off x="600075" y="8572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xdr:colOff>
      <xdr:row>0</xdr:row>
      <xdr:rowOff>85725</xdr:rowOff>
    </xdr:from>
    <xdr:to>
      <xdr:col>0</xdr:col>
      <xdr:colOff>561974</xdr:colOff>
      <xdr:row>0</xdr:row>
      <xdr:rowOff>361950</xdr:rowOff>
    </xdr:to>
    <xdr:sp macro="" textlink="">
      <xdr:nvSpPr>
        <xdr:cNvPr id="62" name="Rectangle: Rounded Corners 61">
          <a:hlinkClick xmlns:r="http://schemas.openxmlformats.org/officeDocument/2006/relationships" r:id="rId2"/>
          <a:extLst>
            <a:ext uri="{FF2B5EF4-FFF2-40B4-BE49-F238E27FC236}">
              <a16:creationId xmlns:a16="http://schemas.microsoft.com/office/drawing/2014/main" id="{8DA914A5-D7B8-48E4-A8AE-3CDD54D9230E}"/>
            </a:ext>
          </a:extLst>
        </xdr:cNvPr>
        <xdr:cNvSpPr/>
      </xdr:nvSpPr>
      <xdr:spPr>
        <a:xfrm>
          <a:off x="9525" y="8572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1038224</xdr:colOff>
      <xdr:row>0</xdr:row>
      <xdr:rowOff>66675</xdr:rowOff>
    </xdr:from>
    <xdr:to>
      <xdr:col>0</xdr:col>
      <xdr:colOff>1476375</xdr:colOff>
      <xdr:row>0</xdr:row>
      <xdr:rowOff>342900</xdr:rowOff>
    </xdr:to>
    <xdr:sp macro="" textlink="">
      <xdr:nvSpPr>
        <xdr:cNvPr id="63" name="Rectangle: Rounded Corners 62">
          <a:hlinkClick xmlns:r="http://schemas.openxmlformats.org/officeDocument/2006/relationships" r:id="rId3"/>
          <a:extLst>
            <a:ext uri="{FF2B5EF4-FFF2-40B4-BE49-F238E27FC236}">
              <a16:creationId xmlns:a16="http://schemas.microsoft.com/office/drawing/2014/main" id="{D8DBAEA3-81BF-4CC0-8B7D-A9224B494885}"/>
            </a:ext>
          </a:extLst>
        </xdr:cNvPr>
        <xdr:cNvSpPr/>
      </xdr:nvSpPr>
      <xdr:spPr>
        <a:xfrm>
          <a:off x="1038224" y="66675"/>
          <a:ext cx="4381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3429000</xdr:colOff>
      <xdr:row>0</xdr:row>
      <xdr:rowOff>76200</xdr:rowOff>
    </xdr:from>
    <xdr:to>
      <xdr:col>1</xdr:col>
      <xdr:colOff>285750</xdr:colOff>
      <xdr:row>0</xdr:row>
      <xdr:rowOff>381000</xdr:rowOff>
    </xdr:to>
    <xdr:sp macro="" textlink="">
      <xdr:nvSpPr>
        <xdr:cNvPr id="64" name="Rectangle: Rounded Corners 63">
          <a:hlinkClick xmlns:r="http://schemas.openxmlformats.org/officeDocument/2006/relationships" r:id="rId4"/>
          <a:extLst>
            <a:ext uri="{FF2B5EF4-FFF2-40B4-BE49-F238E27FC236}">
              <a16:creationId xmlns:a16="http://schemas.microsoft.com/office/drawing/2014/main" id="{A52A9F7A-B39B-4D70-8442-AFDE5ACD7CE7}"/>
            </a:ext>
          </a:extLst>
        </xdr:cNvPr>
        <xdr:cNvSpPr/>
      </xdr:nvSpPr>
      <xdr:spPr>
        <a:xfrm>
          <a:off x="3429000" y="76200"/>
          <a:ext cx="476250" cy="3048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1</xdr:col>
      <xdr:colOff>333374</xdr:colOff>
      <xdr:row>0</xdr:row>
      <xdr:rowOff>95250</xdr:rowOff>
    </xdr:from>
    <xdr:to>
      <xdr:col>1</xdr:col>
      <xdr:colOff>790574</xdr:colOff>
      <xdr:row>0</xdr:row>
      <xdr:rowOff>371475</xdr:rowOff>
    </xdr:to>
    <xdr:sp macro="" textlink="">
      <xdr:nvSpPr>
        <xdr:cNvPr id="65" name="Rectangle: Rounded Corners 64">
          <a:hlinkClick xmlns:r="http://schemas.openxmlformats.org/officeDocument/2006/relationships" r:id="rId5"/>
          <a:extLst>
            <a:ext uri="{FF2B5EF4-FFF2-40B4-BE49-F238E27FC236}">
              <a16:creationId xmlns:a16="http://schemas.microsoft.com/office/drawing/2014/main" id="{D52F462D-648C-453C-A1A4-8088B2E5D461}"/>
            </a:ext>
          </a:extLst>
        </xdr:cNvPr>
        <xdr:cNvSpPr/>
      </xdr:nvSpPr>
      <xdr:spPr>
        <a:xfrm>
          <a:off x="3952874"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1</xdr:col>
      <xdr:colOff>828673</xdr:colOff>
      <xdr:row>0</xdr:row>
      <xdr:rowOff>104775</xdr:rowOff>
    </xdr:from>
    <xdr:to>
      <xdr:col>1</xdr:col>
      <xdr:colOff>1276350</xdr:colOff>
      <xdr:row>0</xdr:row>
      <xdr:rowOff>381000</xdr:rowOff>
    </xdr:to>
    <xdr:sp macro="" textlink="">
      <xdr:nvSpPr>
        <xdr:cNvPr id="66" name="Rectangle: Rounded Corners 65">
          <a:hlinkClick xmlns:r="http://schemas.openxmlformats.org/officeDocument/2006/relationships" r:id="rId6"/>
          <a:extLst>
            <a:ext uri="{FF2B5EF4-FFF2-40B4-BE49-F238E27FC236}">
              <a16:creationId xmlns:a16="http://schemas.microsoft.com/office/drawing/2014/main" id="{3F11D937-1676-4759-88F6-FB896EFEDF1B}"/>
            </a:ext>
          </a:extLst>
        </xdr:cNvPr>
        <xdr:cNvSpPr/>
      </xdr:nvSpPr>
      <xdr:spPr>
        <a:xfrm>
          <a:off x="4448173" y="104775"/>
          <a:ext cx="447677"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1</xdr:col>
      <xdr:colOff>1323975</xdr:colOff>
      <xdr:row>0</xdr:row>
      <xdr:rowOff>95250</xdr:rowOff>
    </xdr:from>
    <xdr:to>
      <xdr:col>2</xdr:col>
      <xdr:colOff>85725</xdr:colOff>
      <xdr:row>0</xdr:row>
      <xdr:rowOff>381000</xdr:rowOff>
    </xdr:to>
    <xdr:sp macro="" textlink="">
      <xdr:nvSpPr>
        <xdr:cNvPr id="67" name="Rectangle: Rounded Corners 66">
          <a:hlinkClick xmlns:r="http://schemas.openxmlformats.org/officeDocument/2006/relationships" r:id="rId7"/>
          <a:extLst>
            <a:ext uri="{FF2B5EF4-FFF2-40B4-BE49-F238E27FC236}">
              <a16:creationId xmlns:a16="http://schemas.microsoft.com/office/drawing/2014/main" id="{AF402BDB-3A71-44C3-97EB-D3F84C15FF81}"/>
            </a:ext>
          </a:extLst>
        </xdr:cNvPr>
        <xdr:cNvSpPr/>
      </xdr:nvSpPr>
      <xdr:spPr>
        <a:xfrm flipH="1">
          <a:off x="4943475" y="95250"/>
          <a:ext cx="4667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133348</xdr:colOff>
      <xdr:row>0</xdr:row>
      <xdr:rowOff>104775</xdr:rowOff>
    </xdr:from>
    <xdr:to>
      <xdr:col>2</xdr:col>
      <xdr:colOff>609599</xdr:colOff>
      <xdr:row>0</xdr:row>
      <xdr:rowOff>381000</xdr:rowOff>
    </xdr:to>
    <xdr:sp macro="" textlink="">
      <xdr:nvSpPr>
        <xdr:cNvPr id="68" name="Rectangle: Rounded Corners 67">
          <a:hlinkClick xmlns:r="http://schemas.openxmlformats.org/officeDocument/2006/relationships" r:id="rId8"/>
          <a:extLst>
            <a:ext uri="{FF2B5EF4-FFF2-40B4-BE49-F238E27FC236}">
              <a16:creationId xmlns:a16="http://schemas.microsoft.com/office/drawing/2014/main" id="{11AD833D-2859-4B60-8704-3260AC5D2482}"/>
            </a:ext>
          </a:extLst>
        </xdr:cNvPr>
        <xdr:cNvSpPr/>
      </xdr:nvSpPr>
      <xdr:spPr>
        <a:xfrm flipH="1">
          <a:off x="5457823" y="104775"/>
          <a:ext cx="4762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2</xdr:col>
      <xdr:colOff>647699</xdr:colOff>
      <xdr:row>0</xdr:row>
      <xdr:rowOff>95250</xdr:rowOff>
    </xdr:from>
    <xdr:to>
      <xdr:col>2</xdr:col>
      <xdr:colOff>1114425</xdr:colOff>
      <xdr:row>0</xdr:row>
      <xdr:rowOff>371475</xdr:rowOff>
    </xdr:to>
    <xdr:sp macro="" textlink="">
      <xdr:nvSpPr>
        <xdr:cNvPr id="69" name="Rectangle: Rounded Corners 68">
          <a:hlinkClick xmlns:r="http://schemas.openxmlformats.org/officeDocument/2006/relationships" r:id="rId9"/>
          <a:extLst>
            <a:ext uri="{FF2B5EF4-FFF2-40B4-BE49-F238E27FC236}">
              <a16:creationId xmlns:a16="http://schemas.microsoft.com/office/drawing/2014/main" id="{CBACA97A-0968-456F-9F9F-771E0DDF8119}"/>
            </a:ext>
          </a:extLst>
        </xdr:cNvPr>
        <xdr:cNvSpPr/>
      </xdr:nvSpPr>
      <xdr:spPr>
        <a:xfrm>
          <a:off x="5972174" y="95250"/>
          <a:ext cx="466726"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2</xdr:col>
      <xdr:colOff>1142999</xdr:colOff>
      <xdr:row>0</xdr:row>
      <xdr:rowOff>85725</xdr:rowOff>
    </xdr:from>
    <xdr:to>
      <xdr:col>3</xdr:col>
      <xdr:colOff>476249</xdr:colOff>
      <xdr:row>0</xdr:row>
      <xdr:rowOff>361950</xdr:rowOff>
    </xdr:to>
    <xdr:sp macro="" textlink="">
      <xdr:nvSpPr>
        <xdr:cNvPr id="70" name="Rectangle: Rounded Corners 69">
          <a:hlinkClick xmlns:r="http://schemas.openxmlformats.org/officeDocument/2006/relationships" r:id="rId10"/>
          <a:extLst>
            <a:ext uri="{FF2B5EF4-FFF2-40B4-BE49-F238E27FC236}">
              <a16:creationId xmlns:a16="http://schemas.microsoft.com/office/drawing/2014/main" id="{77C7D3A7-A8FF-4641-906E-38E1F5918BC4}"/>
            </a:ext>
          </a:extLst>
        </xdr:cNvPr>
        <xdr:cNvSpPr/>
      </xdr:nvSpPr>
      <xdr:spPr>
        <a:xfrm>
          <a:off x="6467474" y="85725"/>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523874</xdr:colOff>
      <xdr:row>0</xdr:row>
      <xdr:rowOff>85725</xdr:rowOff>
    </xdr:from>
    <xdr:to>
      <xdr:col>3</xdr:col>
      <xdr:colOff>1171575</xdr:colOff>
      <xdr:row>0</xdr:row>
      <xdr:rowOff>361950</xdr:rowOff>
    </xdr:to>
    <xdr:sp macro="" textlink="">
      <xdr:nvSpPr>
        <xdr:cNvPr id="71" name="Rectangle: Rounded Corners 70">
          <a:hlinkClick xmlns:r="http://schemas.openxmlformats.org/officeDocument/2006/relationships" r:id="rId11"/>
          <a:extLst>
            <a:ext uri="{FF2B5EF4-FFF2-40B4-BE49-F238E27FC236}">
              <a16:creationId xmlns:a16="http://schemas.microsoft.com/office/drawing/2014/main" id="{23CCE5EE-FC1D-47A0-B4FA-65CDD3F08F23}"/>
            </a:ext>
          </a:extLst>
        </xdr:cNvPr>
        <xdr:cNvSpPr/>
      </xdr:nvSpPr>
      <xdr:spPr>
        <a:xfrm>
          <a:off x="7153274" y="85725"/>
          <a:ext cx="647701"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3</xdr:col>
      <xdr:colOff>1219199</xdr:colOff>
      <xdr:row>0</xdr:row>
      <xdr:rowOff>76200</xdr:rowOff>
    </xdr:from>
    <xdr:to>
      <xdr:col>4</xdr:col>
      <xdr:colOff>380999</xdr:colOff>
      <xdr:row>0</xdr:row>
      <xdr:rowOff>352425</xdr:rowOff>
    </xdr:to>
    <xdr:sp macro="" textlink="">
      <xdr:nvSpPr>
        <xdr:cNvPr id="72" name="Rectangle: Rounded Corners 71">
          <a:hlinkClick xmlns:r="http://schemas.openxmlformats.org/officeDocument/2006/relationships" r:id="rId12"/>
          <a:extLst>
            <a:ext uri="{FF2B5EF4-FFF2-40B4-BE49-F238E27FC236}">
              <a16:creationId xmlns:a16="http://schemas.microsoft.com/office/drawing/2014/main" id="{9046A3F5-CC0C-4B3C-8352-133ABFDD4384}"/>
            </a:ext>
          </a:extLst>
        </xdr:cNvPr>
        <xdr:cNvSpPr/>
      </xdr:nvSpPr>
      <xdr:spPr>
        <a:xfrm>
          <a:off x="7848599" y="76200"/>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0</xdr:col>
      <xdr:colOff>1514474</xdr:colOff>
      <xdr:row>0</xdr:row>
      <xdr:rowOff>66675</xdr:rowOff>
    </xdr:from>
    <xdr:to>
      <xdr:col>0</xdr:col>
      <xdr:colOff>1962149</xdr:colOff>
      <xdr:row>0</xdr:row>
      <xdr:rowOff>342900</xdr:rowOff>
    </xdr:to>
    <xdr:sp macro="" textlink="">
      <xdr:nvSpPr>
        <xdr:cNvPr id="75" name="Rectangle: Rounded Corners 74">
          <a:hlinkClick xmlns:r="http://schemas.openxmlformats.org/officeDocument/2006/relationships" r:id="rId13"/>
          <a:extLst>
            <a:ext uri="{FF2B5EF4-FFF2-40B4-BE49-F238E27FC236}">
              <a16:creationId xmlns:a16="http://schemas.microsoft.com/office/drawing/2014/main" id="{D59477A3-9A8D-4AA4-8EFE-72E02270E010}"/>
            </a:ext>
          </a:extLst>
        </xdr:cNvPr>
        <xdr:cNvSpPr/>
      </xdr:nvSpPr>
      <xdr:spPr>
        <a:xfrm>
          <a:off x="1514474" y="66675"/>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0</xdr:col>
      <xdr:colOff>2009774</xdr:colOff>
      <xdr:row>0</xdr:row>
      <xdr:rowOff>76200</xdr:rowOff>
    </xdr:from>
    <xdr:to>
      <xdr:col>0</xdr:col>
      <xdr:colOff>2419349</xdr:colOff>
      <xdr:row>0</xdr:row>
      <xdr:rowOff>352425</xdr:rowOff>
    </xdr:to>
    <xdr:sp macro="" textlink="">
      <xdr:nvSpPr>
        <xdr:cNvPr id="76" name="Rectangle: Rounded Corners 75">
          <a:hlinkClick xmlns:r="http://schemas.openxmlformats.org/officeDocument/2006/relationships" r:id="rId14"/>
          <a:extLst>
            <a:ext uri="{FF2B5EF4-FFF2-40B4-BE49-F238E27FC236}">
              <a16:creationId xmlns:a16="http://schemas.microsoft.com/office/drawing/2014/main" id="{15C48822-E7B7-42AB-9A69-54F3F599DC5C}"/>
            </a:ext>
          </a:extLst>
        </xdr:cNvPr>
        <xdr:cNvSpPr/>
      </xdr:nvSpPr>
      <xdr:spPr>
        <a:xfrm>
          <a:off x="2009774" y="76200"/>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0</xdr:col>
      <xdr:colOff>2466975</xdr:colOff>
      <xdr:row>0</xdr:row>
      <xdr:rowOff>85725</xdr:rowOff>
    </xdr:from>
    <xdr:to>
      <xdr:col>0</xdr:col>
      <xdr:colOff>2905125</xdr:colOff>
      <xdr:row>0</xdr:row>
      <xdr:rowOff>361950</xdr:rowOff>
    </xdr:to>
    <xdr:sp macro="" textlink="">
      <xdr:nvSpPr>
        <xdr:cNvPr id="77" name="Rectangle: Rounded Corners 76">
          <a:hlinkClick xmlns:r="http://schemas.openxmlformats.org/officeDocument/2006/relationships" r:id="rId15"/>
          <a:extLst>
            <a:ext uri="{FF2B5EF4-FFF2-40B4-BE49-F238E27FC236}">
              <a16:creationId xmlns:a16="http://schemas.microsoft.com/office/drawing/2014/main" id="{B6AF66C9-D555-432B-A167-C686227227DC}"/>
            </a:ext>
          </a:extLst>
        </xdr:cNvPr>
        <xdr:cNvSpPr/>
      </xdr:nvSpPr>
      <xdr:spPr>
        <a:xfrm>
          <a:off x="2466975" y="85725"/>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0</xdr:col>
      <xdr:colOff>2933700</xdr:colOff>
      <xdr:row>0</xdr:row>
      <xdr:rowOff>95250</xdr:rowOff>
    </xdr:from>
    <xdr:to>
      <xdr:col>0</xdr:col>
      <xdr:colOff>3371850</xdr:colOff>
      <xdr:row>0</xdr:row>
      <xdr:rowOff>371475</xdr:rowOff>
    </xdr:to>
    <xdr:sp macro="" textlink="">
      <xdr:nvSpPr>
        <xdr:cNvPr id="78" name="Rectangle: Rounded Corners 77">
          <a:hlinkClick xmlns:r="http://schemas.openxmlformats.org/officeDocument/2006/relationships" r:id="rId16"/>
          <a:extLst>
            <a:ext uri="{FF2B5EF4-FFF2-40B4-BE49-F238E27FC236}">
              <a16:creationId xmlns:a16="http://schemas.microsoft.com/office/drawing/2014/main" id="{D552582E-472F-4096-A49A-7CCCD56E031B}"/>
            </a:ext>
          </a:extLst>
        </xdr:cNvPr>
        <xdr:cNvSpPr/>
      </xdr:nvSpPr>
      <xdr:spPr>
        <a:xfrm>
          <a:off x="2933700" y="95250"/>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4</xdr:col>
      <xdr:colOff>409573</xdr:colOff>
      <xdr:row>0</xdr:row>
      <xdr:rowOff>76200</xdr:rowOff>
    </xdr:from>
    <xdr:to>
      <xdr:col>4</xdr:col>
      <xdr:colOff>1038224</xdr:colOff>
      <xdr:row>0</xdr:row>
      <xdr:rowOff>352425</xdr:rowOff>
    </xdr:to>
    <xdr:sp macro="" textlink="">
      <xdr:nvSpPr>
        <xdr:cNvPr id="2" name="Rectangle: Rounded Corners 1">
          <a:hlinkClick xmlns:r="http://schemas.openxmlformats.org/officeDocument/2006/relationships" r:id="rId17"/>
          <a:extLst>
            <a:ext uri="{FF2B5EF4-FFF2-40B4-BE49-F238E27FC236}">
              <a16:creationId xmlns:a16="http://schemas.microsoft.com/office/drawing/2014/main" id="{F4B9BDDC-AA91-40AE-B18F-74B76F1B6E54}"/>
            </a:ext>
          </a:extLst>
        </xdr:cNvPr>
        <xdr:cNvSpPr/>
      </xdr:nvSpPr>
      <xdr:spPr>
        <a:xfrm>
          <a:off x="8467723" y="76200"/>
          <a:ext cx="628651"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1085850</xdr:colOff>
      <xdr:row>0</xdr:row>
      <xdr:rowOff>95250</xdr:rowOff>
    </xdr:from>
    <xdr:to>
      <xdr:col>5</xdr:col>
      <xdr:colOff>533399</xdr:colOff>
      <xdr:row>0</xdr:row>
      <xdr:rowOff>371475</xdr:rowOff>
    </xdr:to>
    <xdr:sp macro="" textlink="">
      <xdr:nvSpPr>
        <xdr:cNvPr id="3" name="Rectangle: Rounded Corners 2">
          <a:hlinkClick xmlns:r="http://schemas.openxmlformats.org/officeDocument/2006/relationships" r:id="rId18"/>
          <a:extLst>
            <a:ext uri="{FF2B5EF4-FFF2-40B4-BE49-F238E27FC236}">
              <a16:creationId xmlns:a16="http://schemas.microsoft.com/office/drawing/2014/main" id="{C488FD3F-28B9-41AA-B654-EB1436FB5AFF}"/>
            </a:ext>
          </a:extLst>
        </xdr:cNvPr>
        <xdr:cNvSpPr/>
      </xdr:nvSpPr>
      <xdr:spPr>
        <a:xfrm>
          <a:off x="9144000" y="95250"/>
          <a:ext cx="685799"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600075</xdr:colOff>
      <xdr:row>0</xdr:row>
      <xdr:rowOff>85725</xdr:rowOff>
    </xdr:from>
    <xdr:to>
      <xdr:col>0</xdr:col>
      <xdr:colOff>1000125</xdr:colOff>
      <xdr:row>0</xdr:row>
      <xdr:rowOff>361950</xdr:rowOff>
    </xdr:to>
    <xdr:sp macro="" textlink="">
      <xdr:nvSpPr>
        <xdr:cNvPr id="58" name="Rectangle: Rounded Corners 57">
          <a:hlinkClick xmlns:r="http://schemas.openxmlformats.org/officeDocument/2006/relationships" r:id="rId1"/>
          <a:extLst>
            <a:ext uri="{FF2B5EF4-FFF2-40B4-BE49-F238E27FC236}">
              <a16:creationId xmlns:a16="http://schemas.microsoft.com/office/drawing/2014/main" id="{60B67C08-B4EE-41CF-956D-A2D1E1C38745}"/>
            </a:ext>
          </a:extLst>
        </xdr:cNvPr>
        <xdr:cNvSpPr/>
      </xdr:nvSpPr>
      <xdr:spPr>
        <a:xfrm>
          <a:off x="600075" y="8572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xdr:colOff>
      <xdr:row>0</xdr:row>
      <xdr:rowOff>85725</xdr:rowOff>
    </xdr:from>
    <xdr:to>
      <xdr:col>0</xdr:col>
      <xdr:colOff>561974</xdr:colOff>
      <xdr:row>0</xdr:row>
      <xdr:rowOff>361950</xdr:rowOff>
    </xdr:to>
    <xdr:sp macro="" textlink="">
      <xdr:nvSpPr>
        <xdr:cNvPr id="59" name="Rectangle: Rounded Corners 58">
          <a:hlinkClick xmlns:r="http://schemas.openxmlformats.org/officeDocument/2006/relationships" r:id="rId2"/>
          <a:extLst>
            <a:ext uri="{FF2B5EF4-FFF2-40B4-BE49-F238E27FC236}">
              <a16:creationId xmlns:a16="http://schemas.microsoft.com/office/drawing/2014/main" id="{CA3678FE-E7F2-48A8-B10E-748283EF817A}"/>
            </a:ext>
          </a:extLst>
        </xdr:cNvPr>
        <xdr:cNvSpPr/>
      </xdr:nvSpPr>
      <xdr:spPr>
        <a:xfrm>
          <a:off x="9525" y="8572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1038224</xdr:colOff>
      <xdr:row>0</xdr:row>
      <xdr:rowOff>66675</xdr:rowOff>
    </xdr:from>
    <xdr:to>
      <xdr:col>0</xdr:col>
      <xdr:colOff>1476375</xdr:colOff>
      <xdr:row>0</xdr:row>
      <xdr:rowOff>342900</xdr:rowOff>
    </xdr:to>
    <xdr:sp macro="" textlink="">
      <xdr:nvSpPr>
        <xdr:cNvPr id="60" name="Rectangle: Rounded Corners 59">
          <a:hlinkClick xmlns:r="http://schemas.openxmlformats.org/officeDocument/2006/relationships" r:id="rId3"/>
          <a:extLst>
            <a:ext uri="{FF2B5EF4-FFF2-40B4-BE49-F238E27FC236}">
              <a16:creationId xmlns:a16="http://schemas.microsoft.com/office/drawing/2014/main" id="{E0C9ED8C-EBCE-485D-943A-80CD45567106}"/>
            </a:ext>
          </a:extLst>
        </xdr:cNvPr>
        <xdr:cNvSpPr/>
      </xdr:nvSpPr>
      <xdr:spPr>
        <a:xfrm>
          <a:off x="1038224" y="66675"/>
          <a:ext cx="4381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1</xdr:col>
      <xdr:colOff>352424</xdr:colOff>
      <xdr:row>0</xdr:row>
      <xdr:rowOff>95250</xdr:rowOff>
    </xdr:from>
    <xdr:to>
      <xdr:col>1</xdr:col>
      <xdr:colOff>781049</xdr:colOff>
      <xdr:row>0</xdr:row>
      <xdr:rowOff>371475</xdr:rowOff>
    </xdr:to>
    <xdr:sp macro="" textlink="">
      <xdr:nvSpPr>
        <xdr:cNvPr id="61" name="Rectangle: Rounded Corners 60">
          <a:hlinkClick xmlns:r="http://schemas.openxmlformats.org/officeDocument/2006/relationships" r:id="rId4"/>
          <a:extLst>
            <a:ext uri="{FF2B5EF4-FFF2-40B4-BE49-F238E27FC236}">
              <a16:creationId xmlns:a16="http://schemas.microsoft.com/office/drawing/2014/main" id="{C43C3ACE-13EC-407F-BF08-3AE027D54009}"/>
            </a:ext>
          </a:extLst>
        </xdr:cNvPr>
        <xdr:cNvSpPr/>
      </xdr:nvSpPr>
      <xdr:spPr>
        <a:xfrm>
          <a:off x="3343274"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1</xdr:col>
      <xdr:colOff>828674</xdr:colOff>
      <xdr:row>0</xdr:row>
      <xdr:rowOff>95250</xdr:rowOff>
    </xdr:from>
    <xdr:to>
      <xdr:col>1</xdr:col>
      <xdr:colOff>1285874</xdr:colOff>
      <xdr:row>0</xdr:row>
      <xdr:rowOff>371475</xdr:rowOff>
    </xdr:to>
    <xdr:sp macro="" textlink="">
      <xdr:nvSpPr>
        <xdr:cNvPr id="62" name="Rectangle: Rounded Corners 61">
          <a:hlinkClick xmlns:r="http://schemas.openxmlformats.org/officeDocument/2006/relationships" r:id="rId5"/>
          <a:extLst>
            <a:ext uri="{FF2B5EF4-FFF2-40B4-BE49-F238E27FC236}">
              <a16:creationId xmlns:a16="http://schemas.microsoft.com/office/drawing/2014/main" id="{87703E8E-9784-4717-879C-99A5478BD8DD}"/>
            </a:ext>
          </a:extLst>
        </xdr:cNvPr>
        <xdr:cNvSpPr/>
      </xdr:nvSpPr>
      <xdr:spPr>
        <a:xfrm>
          <a:off x="3819524"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1</xdr:col>
      <xdr:colOff>1323973</xdr:colOff>
      <xdr:row>0</xdr:row>
      <xdr:rowOff>104775</xdr:rowOff>
    </xdr:from>
    <xdr:to>
      <xdr:col>2</xdr:col>
      <xdr:colOff>66675</xdr:colOff>
      <xdr:row>0</xdr:row>
      <xdr:rowOff>381000</xdr:rowOff>
    </xdr:to>
    <xdr:sp macro="" textlink="">
      <xdr:nvSpPr>
        <xdr:cNvPr id="63" name="Rectangle: Rounded Corners 62">
          <a:hlinkClick xmlns:r="http://schemas.openxmlformats.org/officeDocument/2006/relationships" r:id="rId6"/>
          <a:extLst>
            <a:ext uri="{FF2B5EF4-FFF2-40B4-BE49-F238E27FC236}">
              <a16:creationId xmlns:a16="http://schemas.microsoft.com/office/drawing/2014/main" id="{FAD5102C-D897-4A23-BB51-F16FC3CBFEE0}"/>
            </a:ext>
          </a:extLst>
        </xdr:cNvPr>
        <xdr:cNvSpPr/>
      </xdr:nvSpPr>
      <xdr:spPr>
        <a:xfrm>
          <a:off x="4314823" y="104775"/>
          <a:ext cx="447677"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114300</xdr:colOff>
      <xdr:row>0</xdr:row>
      <xdr:rowOff>95250</xdr:rowOff>
    </xdr:from>
    <xdr:to>
      <xdr:col>2</xdr:col>
      <xdr:colOff>581025</xdr:colOff>
      <xdr:row>0</xdr:row>
      <xdr:rowOff>381000</xdr:rowOff>
    </xdr:to>
    <xdr:sp macro="" textlink="">
      <xdr:nvSpPr>
        <xdr:cNvPr id="64" name="Rectangle: Rounded Corners 63">
          <a:hlinkClick xmlns:r="http://schemas.openxmlformats.org/officeDocument/2006/relationships" r:id="rId7"/>
          <a:extLst>
            <a:ext uri="{FF2B5EF4-FFF2-40B4-BE49-F238E27FC236}">
              <a16:creationId xmlns:a16="http://schemas.microsoft.com/office/drawing/2014/main" id="{9E9A6C23-02A3-4553-BC56-19D5195CA21F}"/>
            </a:ext>
          </a:extLst>
        </xdr:cNvPr>
        <xdr:cNvSpPr/>
      </xdr:nvSpPr>
      <xdr:spPr>
        <a:xfrm flipH="1">
          <a:off x="4810125" y="95250"/>
          <a:ext cx="4667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628648</xdr:colOff>
      <xdr:row>0</xdr:row>
      <xdr:rowOff>104775</xdr:rowOff>
    </xdr:from>
    <xdr:to>
      <xdr:col>2</xdr:col>
      <xdr:colOff>1104899</xdr:colOff>
      <xdr:row>0</xdr:row>
      <xdr:rowOff>381000</xdr:rowOff>
    </xdr:to>
    <xdr:sp macro="" textlink="">
      <xdr:nvSpPr>
        <xdr:cNvPr id="65" name="Rectangle: Rounded Corners 64">
          <a:hlinkClick xmlns:r="http://schemas.openxmlformats.org/officeDocument/2006/relationships" r:id="rId8"/>
          <a:extLst>
            <a:ext uri="{FF2B5EF4-FFF2-40B4-BE49-F238E27FC236}">
              <a16:creationId xmlns:a16="http://schemas.microsoft.com/office/drawing/2014/main" id="{4AA5A306-6F65-4D92-A17B-0ADD9F69ADD6}"/>
            </a:ext>
          </a:extLst>
        </xdr:cNvPr>
        <xdr:cNvSpPr/>
      </xdr:nvSpPr>
      <xdr:spPr>
        <a:xfrm flipH="1">
          <a:off x="5324473" y="104775"/>
          <a:ext cx="4762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2</xdr:col>
      <xdr:colOff>1142999</xdr:colOff>
      <xdr:row>0</xdr:row>
      <xdr:rowOff>95250</xdr:rowOff>
    </xdr:from>
    <xdr:to>
      <xdr:col>3</xdr:col>
      <xdr:colOff>304800</xdr:colOff>
      <xdr:row>0</xdr:row>
      <xdr:rowOff>371475</xdr:rowOff>
    </xdr:to>
    <xdr:sp macro="" textlink="">
      <xdr:nvSpPr>
        <xdr:cNvPr id="66" name="Rectangle: Rounded Corners 65">
          <a:hlinkClick xmlns:r="http://schemas.openxmlformats.org/officeDocument/2006/relationships" r:id="rId9"/>
          <a:extLst>
            <a:ext uri="{FF2B5EF4-FFF2-40B4-BE49-F238E27FC236}">
              <a16:creationId xmlns:a16="http://schemas.microsoft.com/office/drawing/2014/main" id="{0BEF3C9A-A970-4DF7-A5B5-491E1445E4A0}"/>
            </a:ext>
          </a:extLst>
        </xdr:cNvPr>
        <xdr:cNvSpPr/>
      </xdr:nvSpPr>
      <xdr:spPr>
        <a:xfrm>
          <a:off x="5838824" y="95250"/>
          <a:ext cx="466726"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333374</xdr:colOff>
      <xdr:row>0</xdr:row>
      <xdr:rowOff>85725</xdr:rowOff>
    </xdr:from>
    <xdr:to>
      <xdr:col>3</xdr:col>
      <xdr:colOff>971549</xdr:colOff>
      <xdr:row>0</xdr:row>
      <xdr:rowOff>361950</xdr:rowOff>
    </xdr:to>
    <xdr:sp macro="" textlink="">
      <xdr:nvSpPr>
        <xdr:cNvPr id="67" name="Rectangle: Rounded Corners 66">
          <a:hlinkClick xmlns:r="http://schemas.openxmlformats.org/officeDocument/2006/relationships" r:id="rId10"/>
          <a:extLst>
            <a:ext uri="{FF2B5EF4-FFF2-40B4-BE49-F238E27FC236}">
              <a16:creationId xmlns:a16="http://schemas.microsoft.com/office/drawing/2014/main" id="{0F520369-69F5-45F4-8F6A-A157F5DE7EA2}"/>
            </a:ext>
          </a:extLst>
        </xdr:cNvPr>
        <xdr:cNvSpPr/>
      </xdr:nvSpPr>
      <xdr:spPr>
        <a:xfrm>
          <a:off x="6334124" y="85725"/>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4</xdr:col>
      <xdr:colOff>514349</xdr:colOff>
      <xdr:row>0</xdr:row>
      <xdr:rowOff>76200</xdr:rowOff>
    </xdr:from>
    <xdr:to>
      <xdr:col>4</xdr:col>
      <xdr:colOff>1104899</xdr:colOff>
      <xdr:row>0</xdr:row>
      <xdr:rowOff>352425</xdr:rowOff>
    </xdr:to>
    <xdr:sp macro="" textlink="">
      <xdr:nvSpPr>
        <xdr:cNvPr id="69" name="Rectangle: Rounded Corners 68">
          <a:hlinkClick xmlns:r="http://schemas.openxmlformats.org/officeDocument/2006/relationships" r:id="rId11"/>
          <a:extLst>
            <a:ext uri="{FF2B5EF4-FFF2-40B4-BE49-F238E27FC236}">
              <a16:creationId xmlns:a16="http://schemas.microsoft.com/office/drawing/2014/main" id="{7ADD73CC-24B0-488F-A011-B9061F8AECE9}"/>
            </a:ext>
          </a:extLst>
        </xdr:cNvPr>
        <xdr:cNvSpPr/>
      </xdr:nvSpPr>
      <xdr:spPr>
        <a:xfrm>
          <a:off x="7648574" y="76200"/>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1209673</xdr:colOff>
      <xdr:row>0</xdr:row>
      <xdr:rowOff>95250</xdr:rowOff>
    </xdr:from>
    <xdr:to>
      <xdr:col>5</xdr:col>
      <xdr:colOff>600074</xdr:colOff>
      <xdr:row>0</xdr:row>
      <xdr:rowOff>371475</xdr:rowOff>
    </xdr:to>
    <xdr:sp macro="" textlink="">
      <xdr:nvSpPr>
        <xdr:cNvPr id="70" name="Rectangle: Rounded Corners 69">
          <a:hlinkClick xmlns:r="http://schemas.openxmlformats.org/officeDocument/2006/relationships" r:id="rId12"/>
          <a:extLst>
            <a:ext uri="{FF2B5EF4-FFF2-40B4-BE49-F238E27FC236}">
              <a16:creationId xmlns:a16="http://schemas.microsoft.com/office/drawing/2014/main" id="{EA2670F2-42E0-4558-89B3-34DC61D57696}"/>
            </a:ext>
          </a:extLst>
        </xdr:cNvPr>
        <xdr:cNvSpPr/>
      </xdr:nvSpPr>
      <xdr:spPr>
        <a:xfrm>
          <a:off x="8277223" y="95250"/>
          <a:ext cx="628651"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5</xdr:col>
      <xdr:colOff>657222</xdr:colOff>
      <xdr:row>0</xdr:row>
      <xdr:rowOff>85725</xdr:rowOff>
    </xdr:from>
    <xdr:to>
      <xdr:col>5</xdr:col>
      <xdr:colOff>1362075</xdr:colOff>
      <xdr:row>0</xdr:row>
      <xdr:rowOff>361950</xdr:rowOff>
    </xdr:to>
    <xdr:sp macro="" textlink="">
      <xdr:nvSpPr>
        <xdr:cNvPr id="71" name="Rectangle: Rounded Corners 70">
          <a:hlinkClick xmlns:r="http://schemas.openxmlformats.org/officeDocument/2006/relationships" r:id="rId13"/>
          <a:extLst>
            <a:ext uri="{FF2B5EF4-FFF2-40B4-BE49-F238E27FC236}">
              <a16:creationId xmlns:a16="http://schemas.microsoft.com/office/drawing/2014/main" id="{273BFF23-0C34-449B-AAA1-0B3F5D20E962}"/>
            </a:ext>
          </a:extLst>
        </xdr:cNvPr>
        <xdr:cNvSpPr/>
      </xdr:nvSpPr>
      <xdr:spPr>
        <a:xfrm>
          <a:off x="9029697" y="85725"/>
          <a:ext cx="704853"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twoCellAnchor>
    <xdr:from>
      <xdr:col>0</xdr:col>
      <xdr:colOff>1514474</xdr:colOff>
      <xdr:row>0</xdr:row>
      <xdr:rowOff>66675</xdr:rowOff>
    </xdr:from>
    <xdr:to>
      <xdr:col>0</xdr:col>
      <xdr:colOff>1962149</xdr:colOff>
      <xdr:row>0</xdr:row>
      <xdr:rowOff>342900</xdr:rowOff>
    </xdr:to>
    <xdr:sp macro="" textlink="">
      <xdr:nvSpPr>
        <xdr:cNvPr id="72" name="Rectangle: Rounded Corners 71">
          <a:hlinkClick xmlns:r="http://schemas.openxmlformats.org/officeDocument/2006/relationships" r:id="rId14"/>
          <a:extLst>
            <a:ext uri="{FF2B5EF4-FFF2-40B4-BE49-F238E27FC236}">
              <a16:creationId xmlns:a16="http://schemas.microsoft.com/office/drawing/2014/main" id="{894B829F-74C4-4DE7-9B4F-8DE571C9A037}"/>
            </a:ext>
          </a:extLst>
        </xdr:cNvPr>
        <xdr:cNvSpPr/>
      </xdr:nvSpPr>
      <xdr:spPr>
        <a:xfrm>
          <a:off x="1514474" y="66675"/>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0</xdr:col>
      <xdr:colOff>2009774</xdr:colOff>
      <xdr:row>0</xdr:row>
      <xdr:rowOff>76200</xdr:rowOff>
    </xdr:from>
    <xdr:to>
      <xdr:col>0</xdr:col>
      <xdr:colOff>2419349</xdr:colOff>
      <xdr:row>0</xdr:row>
      <xdr:rowOff>352425</xdr:rowOff>
    </xdr:to>
    <xdr:sp macro="" textlink="">
      <xdr:nvSpPr>
        <xdr:cNvPr id="73" name="Rectangle: Rounded Corners 72">
          <a:hlinkClick xmlns:r="http://schemas.openxmlformats.org/officeDocument/2006/relationships" r:id="rId15"/>
          <a:extLst>
            <a:ext uri="{FF2B5EF4-FFF2-40B4-BE49-F238E27FC236}">
              <a16:creationId xmlns:a16="http://schemas.microsoft.com/office/drawing/2014/main" id="{EBB5014F-A44B-4185-A8FA-5C3D3D80F4B7}"/>
            </a:ext>
          </a:extLst>
        </xdr:cNvPr>
        <xdr:cNvSpPr/>
      </xdr:nvSpPr>
      <xdr:spPr>
        <a:xfrm>
          <a:off x="2009774" y="76200"/>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0</xdr:col>
      <xdr:colOff>2466975</xdr:colOff>
      <xdr:row>0</xdr:row>
      <xdr:rowOff>85725</xdr:rowOff>
    </xdr:from>
    <xdr:to>
      <xdr:col>0</xdr:col>
      <xdr:colOff>2905125</xdr:colOff>
      <xdr:row>0</xdr:row>
      <xdr:rowOff>361950</xdr:rowOff>
    </xdr:to>
    <xdr:sp macro="" textlink="">
      <xdr:nvSpPr>
        <xdr:cNvPr id="74" name="Rectangle: Rounded Corners 73">
          <a:hlinkClick xmlns:r="http://schemas.openxmlformats.org/officeDocument/2006/relationships" r:id="rId16"/>
          <a:extLst>
            <a:ext uri="{FF2B5EF4-FFF2-40B4-BE49-F238E27FC236}">
              <a16:creationId xmlns:a16="http://schemas.microsoft.com/office/drawing/2014/main" id="{8EE529D3-BA96-4B43-BA41-12A74C524F48}"/>
            </a:ext>
          </a:extLst>
        </xdr:cNvPr>
        <xdr:cNvSpPr/>
      </xdr:nvSpPr>
      <xdr:spPr>
        <a:xfrm>
          <a:off x="2466975" y="85725"/>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0</xdr:col>
      <xdr:colOff>2933700</xdr:colOff>
      <xdr:row>0</xdr:row>
      <xdr:rowOff>95250</xdr:rowOff>
    </xdr:from>
    <xdr:to>
      <xdr:col>1</xdr:col>
      <xdr:colOff>342900</xdr:colOff>
      <xdr:row>0</xdr:row>
      <xdr:rowOff>371475</xdr:rowOff>
    </xdr:to>
    <xdr:sp macro="" textlink="">
      <xdr:nvSpPr>
        <xdr:cNvPr id="75" name="Rectangle: Rounded Corners 74">
          <a:hlinkClick xmlns:r="http://schemas.openxmlformats.org/officeDocument/2006/relationships" r:id="rId17"/>
          <a:extLst>
            <a:ext uri="{FF2B5EF4-FFF2-40B4-BE49-F238E27FC236}">
              <a16:creationId xmlns:a16="http://schemas.microsoft.com/office/drawing/2014/main" id="{4B22FADB-3117-4BEC-B393-79BF3780B31D}"/>
            </a:ext>
          </a:extLst>
        </xdr:cNvPr>
        <xdr:cNvSpPr/>
      </xdr:nvSpPr>
      <xdr:spPr>
        <a:xfrm>
          <a:off x="2933700" y="95250"/>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twoCellAnchor>
    <xdr:from>
      <xdr:col>3</xdr:col>
      <xdr:colOff>1019173</xdr:colOff>
      <xdr:row>0</xdr:row>
      <xdr:rowOff>85725</xdr:rowOff>
    </xdr:from>
    <xdr:to>
      <xdr:col>4</xdr:col>
      <xdr:colOff>457199</xdr:colOff>
      <xdr:row>0</xdr:row>
      <xdr:rowOff>361950</xdr:rowOff>
    </xdr:to>
    <xdr:sp macro="" textlink="">
      <xdr:nvSpPr>
        <xdr:cNvPr id="2" name="Rectangle: Rounded Corners 1">
          <a:hlinkClick xmlns:r="http://schemas.openxmlformats.org/officeDocument/2006/relationships" r:id="rId18"/>
          <a:extLst>
            <a:ext uri="{FF2B5EF4-FFF2-40B4-BE49-F238E27FC236}">
              <a16:creationId xmlns:a16="http://schemas.microsoft.com/office/drawing/2014/main" id="{10C470C8-E7F4-48BA-8A6E-C6319A579C08}"/>
            </a:ext>
          </a:extLst>
        </xdr:cNvPr>
        <xdr:cNvSpPr/>
      </xdr:nvSpPr>
      <xdr:spPr>
        <a:xfrm>
          <a:off x="7019923" y="85725"/>
          <a:ext cx="571501"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600075</xdr:colOff>
      <xdr:row>0</xdr:row>
      <xdr:rowOff>85725</xdr:rowOff>
    </xdr:from>
    <xdr:to>
      <xdr:col>0</xdr:col>
      <xdr:colOff>1000125</xdr:colOff>
      <xdr:row>0</xdr:row>
      <xdr:rowOff>361950</xdr:rowOff>
    </xdr:to>
    <xdr:sp macro="" textlink="">
      <xdr:nvSpPr>
        <xdr:cNvPr id="40" name="Rectangle: Rounded Corners 39">
          <a:hlinkClick xmlns:r="http://schemas.openxmlformats.org/officeDocument/2006/relationships" r:id="rId1"/>
          <a:extLst>
            <a:ext uri="{FF2B5EF4-FFF2-40B4-BE49-F238E27FC236}">
              <a16:creationId xmlns:a16="http://schemas.microsoft.com/office/drawing/2014/main" id="{78948AF5-654E-4BAB-8E86-DC82F85797ED}"/>
            </a:ext>
          </a:extLst>
        </xdr:cNvPr>
        <xdr:cNvSpPr/>
      </xdr:nvSpPr>
      <xdr:spPr>
        <a:xfrm>
          <a:off x="600075" y="8572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xdr:colOff>
      <xdr:row>0</xdr:row>
      <xdr:rowOff>85725</xdr:rowOff>
    </xdr:from>
    <xdr:to>
      <xdr:col>0</xdr:col>
      <xdr:colOff>561974</xdr:colOff>
      <xdr:row>0</xdr:row>
      <xdr:rowOff>361950</xdr:rowOff>
    </xdr:to>
    <xdr:sp macro="" textlink="">
      <xdr:nvSpPr>
        <xdr:cNvPr id="41" name="Rectangle: Rounded Corners 40">
          <a:hlinkClick xmlns:r="http://schemas.openxmlformats.org/officeDocument/2006/relationships" r:id="rId2"/>
          <a:extLst>
            <a:ext uri="{FF2B5EF4-FFF2-40B4-BE49-F238E27FC236}">
              <a16:creationId xmlns:a16="http://schemas.microsoft.com/office/drawing/2014/main" id="{5145FF51-3D6B-4FB3-ADA5-6839B9ED7987}"/>
            </a:ext>
          </a:extLst>
        </xdr:cNvPr>
        <xdr:cNvSpPr/>
      </xdr:nvSpPr>
      <xdr:spPr>
        <a:xfrm>
          <a:off x="9525" y="8572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1038224</xdr:colOff>
      <xdr:row>0</xdr:row>
      <xdr:rowOff>66675</xdr:rowOff>
    </xdr:from>
    <xdr:to>
      <xdr:col>0</xdr:col>
      <xdr:colOff>1476375</xdr:colOff>
      <xdr:row>0</xdr:row>
      <xdr:rowOff>342900</xdr:rowOff>
    </xdr:to>
    <xdr:sp macro="" textlink="">
      <xdr:nvSpPr>
        <xdr:cNvPr id="42" name="Rectangle: Rounded Corners 41">
          <a:hlinkClick xmlns:r="http://schemas.openxmlformats.org/officeDocument/2006/relationships" r:id="rId3"/>
          <a:extLst>
            <a:ext uri="{FF2B5EF4-FFF2-40B4-BE49-F238E27FC236}">
              <a16:creationId xmlns:a16="http://schemas.microsoft.com/office/drawing/2014/main" id="{D728F76E-B3DD-41B0-89F8-09AA60331E7D}"/>
            </a:ext>
          </a:extLst>
        </xdr:cNvPr>
        <xdr:cNvSpPr/>
      </xdr:nvSpPr>
      <xdr:spPr>
        <a:xfrm>
          <a:off x="1038224" y="66675"/>
          <a:ext cx="4381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1</xdr:col>
      <xdr:colOff>371474</xdr:colOff>
      <xdr:row>0</xdr:row>
      <xdr:rowOff>95250</xdr:rowOff>
    </xdr:from>
    <xdr:to>
      <xdr:col>1</xdr:col>
      <xdr:colOff>800099</xdr:colOff>
      <xdr:row>0</xdr:row>
      <xdr:rowOff>371475</xdr:rowOff>
    </xdr:to>
    <xdr:sp macro="" textlink="">
      <xdr:nvSpPr>
        <xdr:cNvPr id="43" name="Rectangle: Rounded Corners 42">
          <a:hlinkClick xmlns:r="http://schemas.openxmlformats.org/officeDocument/2006/relationships" r:id="rId4"/>
          <a:extLst>
            <a:ext uri="{FF2B5EF4-FFF2-40B4-BE49-F238E27FC236}">
              <a16:creationId xmlns:a16="http://schemas.microsoft.com/office/drawing/2014/main" id="{D6325630-D1D9-46F3-ABF3-1677167601E3}"/>
            </a:ext>
          </a:extLst>
        </xdr:cNvPr>
        <xdr:cNvSpPr/>
      </xdr:nvSpPr>
      <xdr:spPr>
        <a:xfrm>
          <a:off x="3362324"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1</xdr:col>
      <xdr:colOff>828674</xdr:colOff>
      <xdr:row>0</xdr:row>
      <xdr:rowOff>95250</xdr:rowOff>
    </xdr:from>
    <xdr:to>
      <xdr:col>1</xdr:col>
      <xdr:colOff>1285874</xdr:colOff>
      <xdr:row>0</xdr:row>
      <xdr:rowOff>371475</xdr:rowOff>
    </xdr:to>
    <xdr:sp macro="" textlink="">
      <xdr:nvSpPr>
        <xdr:cNvPr id="44" name="Rectangle: Rounded Corners 43">
          <a:hlinkClick xmlns:r="http://schemas.openxmlformats.org/officeDocument/2006/relationships" r:id="rId5"/>
          <a:extLst>
            <a:ext uri="{FF2B5EF4-FFF2-40B4-BE49-F238E27FC236}">
              <a16:creationId xmlns:a16="http://schemas.microsoft.com/office/drawing/2014/main" id="{EAB537EE-4503-41FB-8F6E-2E58533E2548}"/>
            </a:ext>
          </a:extLst>
        </xdr:cNvPr>
        <xdr:cNvSpPr/>
      </xdr:nvSpPr>
      <xdr:spPr>
        <a:xfrm>
          <a:off x="3819524" y="95250"/>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1</xdr:col>
      <xdr:colOff>1323973</xdr:colOff>
      <xdr:row>0</xdr:row>
      <xdr:rowOff>104775</xdr:rowOff>
    </xdr:from>
    <xdr:to>
      <xdr:col>2</xdr:col>
      <xdr:colOff>66675</xdr:colOff>
      <xdr:row>0</xdr:row>
      <xdr:rowOff>381000</xdr:rowOff>
    </xdr:to>
    <xdr:sp macro="" textlink="">
      <xdr:nvSpPr>
        <xdr:cNvPr id="45" name="Rectangle: Rounded Corners 44">
          <a:hlinkClick xmlns:r="http://schemas.openxmlformats.org/officeDocument/2006/relationships" r:id="rId6"/>
          <a:extLst>
            <a:ext uri="{FF2B5EF4-FFF2-40B4-BE49-F238E27FC236}">
              <a16:creationId xmlns:a16="http://schemas.microsoft.com/office/drawing/2014/main" id="{1AC33B82-CCE9-423F-B2E9-D3101DC6269F}"/>
            </a:ext>
          </a:extLst>
        </xdr:cNvPr>
        <xdr:cNvSpPr/>
      </xdr:nvSpPr>
      <xdr:spPr>
        <a:xfrm>
          <a:off x="4314823" y="104775"/>
          <a:ext cx="447677"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2</xdr:col>
      <xdr:colOff>114300</xdr:colOff>
      <xdr:row>0</xdr:row>
      <xdr:rowOff>95250</xdr:rowOff>
    </xdr:from>
    <xdr:to>
      <xdr:col>2</xdr:col>
      <xdr:colOff>581025</xdr:colOff>
      <xdr:row>0</xdr:row>
      <xdr:rowOff>381000</xdr:rowOff>
    </xdr:to>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41DE9624-E714-4742-A639-3AA2549DC30C}"/>
            </a:ext>
          </a:extLst>
        </xdr:cNvPr>
        <xdr:cNvSpPr/>
      </xdr:nvSpPr>
      <xdr:spPr>
        <a:xfrm flipH="1">
          <a:off x="4810125" y="95250"/>
          <a:ext cx="4667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2</xdr:col>
      <xdr:colOff>628648</xdr:colOff>
      <xdr:row>0</xdr:row>
      <xdr:rowOff>104775</xdr:rowOff>
    </xdr:from>
    <xdr:to>
      <xdr:col>2</xdr:col>
      <xdr:colOff>1104899</xdr:colOff>
      <xdr:row>0</xdr:row>
      <xdr:rowOff>381000</xdr:rowOff>
    </xdr:to>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49EDA6C3-2552-4C38-BAD2-EFBF15229573}"/>
            </a:ext>
          </a:extLst>
        </xdr:cNvPr>
        <xdr:cNvSpPr/>
      </xdr:nvSpPr>
      <xdr:spPr>
        <a:xfrm flipH="1">
          <a:off x="5324473" y="104775"/>
          <a:ext cx="4762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2</xdr:col>
      <xdr:colOff>1142999</xdr:colOff>
      <xdr:row>0</xdr:row>
      <xdr:rowOff>95250</xdr:rowOff>
    </xdr:from>
    <xdr:to>
      <xdr:col>3</xdr:col>
      <xdr:colOff>304800</xdr:colOff>
      <xdr:row>0</xdr:row>
      <xdr:rowOff>371475</xdr:rowOff>
    </xdr:to>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B1A49182-A066-4F9F-96C6-8FB26D07A19B}"/>
            </a:ext>
          </a:extLst>
        </xdr:cNvPr>
        <xdr:cNvSpPr/>
      </xdr:nvSpPr>
      <xdr:spPr>
        <a:xfrm>
          <a:off x="5838824" y="95250"/>
          <a:ext cx="466726"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3</xdr:col>
      <xdr:colOff>333374</xdr:colOff>
      <xdr:row>0</xdr:row>
      <xdr:rowOff>85725</xdr:rowOff>
    </xdr:from>
    <xdr:to>
      <xdr:col>3</xdr:col>
      <xdr:colOff>971549</xdr:colOff>
      <xdr:row>0</xdr:row>
      <xdr:rowOff>361950</xdr:rowOff>
    </xdr:to>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32A2B32D-A0B8-4059-B0CE-37A8DACA0EF7}"/>
            </a:ext>
          </a:extLst>
        </xdr:cNvPr>
        <xdr:cNvSpPr/>
      </xdr:nvSpPr>
      <xdr:spPr>
        <a:xfrm>
          <a:off x="6334124" y="85725"/>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1019174</xdr:colOff>
      <xdr:row>0</xdr:row>
      <xdr:rowOff>85725</xdr:rowOff>
    </xdr:from>
    <xdr:to>
      <xdr:col>4</xdr:col>
      <xdr:colOff>381000</xdr:colOff>
      <xdr:row>0</xdr:row>
      <xdr:rowOff>361950</xdr:rowOff>
    </xdr:to>
    <xdr:sp macro="" textlink="">
      <xdr:nvSpPr>
        <xdr:cNvPr id="50" name="Rectangle: Rounded Corners 49">
          <a:hlinkClick xmlns:r="http://schemas.openxmlformats.org/officeDocument/2006/relationships" r:id="rId11"/>
          <a:extLst>
            <a:ext uri="{FF2B5EF4-FFF2-40B4-BE49-F238E27FC236}">
              <a16:creationId xmlns:a16="http://schemas.microsoft.com/office/drawing/2014/main" id="{68169D34-1C7E-499F-831A-FAC90BDA8059}"/>
            </a:ext>
          </a:extLst>
        </xdr:cNvPr>
        <xdr:cNvSpPr/>
      </xdr:nvSpPr>
      <xdr:spPr>
        <a:xfrm>
          <a:off x="7019924" y="85725"/>
          <a:ext cx="600076"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4</xdr:col>
      <xdr:colOff>409574</xdr:colOff>
      <xdr:row>0</xdr:row>
      <xdr:rowOff>95250</xdr:rowOff>
    </xdr:from>
    <xdr:to>
      <xdr:col>4</xdr:col>
      <xdr:colOff>1000124</xdr:colOff>
      <xdr:row>0</xdr:row>
      <xdr:rowOff>371475</xdr:rowOff>
    </xdr:to>
    <xdr:sp macro="" textlink="">
      <xdr:nvSpPr>
        <xdr:cNvPr id="51" name="Rectangle: Rounded Corners 50">
          <a:hlinkClick xmlns:r="http://schemas.openxmlformats.org/officeDocument/2006/relationships" r:id="rId12"/>
          <a:extLst>
            <a:ext uri="{FF2B5EF4-FFF2-40B4-BE49-F238E27FC236}">
              <a16:creationId xmlns:a16="http://schemas.microsoft.com/office/drawing/2014/main" id="{FDEFCC1D-C446-41E0-945B-D79EB597FF76}"/>
            </a:ext>
          </a:extLst>
        </xdr:cNvPr>
        <xdr:cNvSpPr/>
      </xdr:nvSpPr>
      <xdr:spPr>
        <a:xfrm>
          <a:off x="7648574" y="95250"/>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1047748</xdr:colOff>
      <xdr:row>0</xdr:row>
      <xdr:rowOff>114300</xdr:rowOff>
    </xdr:from>
    <xdr:to>
      <xdr:col>5</xdr:col>
      <xdr:colOff>438149</xdr:colOff>
      <xdr:row>0</xdr:row>
      <xdr:rowOff>390525</xdr:rowOff>
    </xdr:to>
    <xdr:sp macro="" textlink="">
      <xdr:nvSpPr>
        <xdr:cNvPr id="52" name="Rectangle: Rounded Corners 51">
          <a:hlinkClick xmlns:r="http://schemas.openxmlformats.org/officeDocument/2006/relationships" r:id="rId13"/>
          <a:extLst>
            <a:ext uri="{FF2B5EF4-FFF2-40B4-BE49-F238E27FC236}">
              <a16:creationId xmlns:a16="http://schemas.microsoft.com/office/drawing/2014/main" id="{D0FC305A-E6F6-4A0F-A95A-1EE7BBA3950D}"/>
            </a:ext>
          </a:extLst>
        </xdr:cNvPr>
        <xdr:cNvSpPr/>
      </xdr:nvSpPr>
      <xdr:spPr>
        <a:xfrm>
          <a:off x="8286748" y="114300"/>
          <a:ext cx="628651"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5</xdr:col>
      <xdr:colOff>495297</xdr:colOff>
      <xdr:row>0</xdr:row>
      <xdr:rowOff>123825</xdr:rowOff>
    </xdr:from>
    <xdr:to>
      <xdr:col>5</xdr:col>
      <xdr:colOff>1209675</xdr:colOff>
      <xdr:row>0</xdr:row>
      <xdr:rowOff>400050</xdr:rowOff>
    </xdr:to>
    <xdr:sp macro="" textlink="">
      <xdr:nvSpPr>
        <xdr:cNvPr id="53" name="Rectangle: Rounded Corners 52">
          <a:hlinkClick xmlns:r="http://schemas.openxmlformats.org/officeDocument/2006/relationships" r:id="rId14"/>
          <a:extLst>
            <a:ext uri="{FF2B5EF4-FFF2-40B4-BE49-F238E27FC236}">
              <a16:creationId xmlns:a16="http://schemas.microsoft.com/office/drawing/2014/main" id="{5AC84CAF-B25C-4A8D-AE62-458515543AD0}"/>
            </a:ext>
          </a:extLst>
        </xdr:cNvPr>
        <xdr:cNvSpPr/>
      </xdr:nvSpPr>
      <xdr:spPr>
        <a:xfrm>
          <a:off x="8972547" y="123825"/>
          <a:ext cx="714378"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twoCellAnchor>
    <xdr:from>
      <xdr:col>0</xdr:col>
      <xdr:colOff>1514474</xdr:colOff>
      <xdr:row>0</xdr:row>
      <xdr:rowOff>66675</xdr:rowOff>
    </xdr:from>
    <xdr:to>
      <xdr:col>0</xdr:col>
      <xdr:colOff>1962149</xdr:colOff>
      <xdr:row>0</xdr:row>
      <xdr:rowOff>342900</xdr:rowOff>
    </xdr:to>
    <xdr:sp macro="" textlink="">
      <xdr:nvSpPr>
        <xdr:cNvPr id="54" name="Rectangle: Rounded Corners 53">
          <a:hlinkClick xmlns:r="http://schemas.openxmlformats.org/officeDocument/2006/relationships" r:id="rId15"/>
          <a:extLst>
            <a:ext uri="{FF2B5EF4-FFF2-40B4-BE49-F238E27FC236}">
              <a16:creationId xmlns:a16="http://schemas.microsoft.com/office/drawing/2014/main" id="{CC87666B-D550-4149-A7BA-8817CC005C3F}"/>
            </a:ext>
          </a:extLst>
        </xdr:cNvPr>
        <xdr:cNvSpPr/>
      </xdr:nvSpPr>
      <xdr:spPr>
        <a:xfrm>
          <a:off x="1514474" y="66675"/>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0</xdr:col>
      <xdr:colOff>2009774</xdr:colOff>
      <xdr:row>0</xdr:row>
      <xdr:rowOff>76200</xdr:rowOff>
    </xdr:from>
    <xdr:to>
      <xdr:col>0</xdr:col>
      <xdr:colOff>2419349</xdr:colOff>
      <xdr:row>0</xdr:row>
      <xdr:rowOff>352425</xdr:rowOff>
    </xdr:to>
    <xdr:sp macro="" textlink="">
      <xdr:nvSpPr>
        <xdr:cNvPr id="55" name="Rectangle: Rounded Corners 54">
          <a:hlinkClick xmlns:r="http://schemas.openxmlformats.org/officeDocument/2006/relationships" r:id="rId16"/>
          <a:extLst>
            <a:ext uri="{FF2B5EF4-FFF2-40B4-BE49-F238E27FC236}">
              <a16:creationId xmlns:a16="http://schemas.microsoft.com/office/drawing/2014/main" id="{590C5141-56B1-44DA-BB6B-0C70699FB163}"/>
            </a:ext>
          </a:extLst>
        </xdr:cNvPr>
        <xdr:cNvSpPr/>
      </xdr:nvSpPr>
      <xdr:spPr>
        <a:xfrm>
          <a:off x="2009774" y="76200"/>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0</xdr:col>
      <xdr:colOff>2466975</xdr:colOff>
      <xdr:row>0</xdr:row>
      <xdr:rowOff>85725</xdr:rowOff>
    </xdr:from>
    <xdr:to>
      <xdr:col>0</xdr:col>
      <xdr:colOff>2905125</xdr:colOff>
      <xdr:row>0</xdr:row>
      <xdr:rowOff>361950</xdr:rowOff>
    </xdr:to>
    <xdr:sp macro="" textlink="">
      <xdr:nvSpPr>
        <xdr:cNvPr id="56" name="Rectangle: Rounded Corners 55">
          <a:hlinkClick xmlns:r="http://schemas.openxmlformats.org/officeDocument/2006/relationships" r:id="rId17"/>
          <a:extLst>
            <a:ext uri="{FF2B5EF4-FFF2-40B4-BE49-F238E27FC236}">
              <a16:creationId xmlns:a16="http://schemas.microsoft.com/office/drawing/2014/main" id="{BC70C5DA-6EA7-4A34-81EB-80408FBC494E}"/>
            </a:ext>
          </a:extLst>
        </xdr:cNvPr>
        <xdr:cNvSpPr/>
      </xdr:nvSpPr>
      <xdr:spPr>
        <a:xfrm>
          <a:off x="2466975" y="85725"/>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0</xdr:col>
      <xdr:colOff>2933700</xdr:colOff>
      <xdr:row>0</xdr:row>
      <xdr:rowOff>95250</xdr:rowOff>
    </xdr:from>
    <xdr:to>
      <xdr:col>1</xdr:col>
      <xdr:colOff>342900</xdr:colOff>
      <xdr:row>0</xdr:row>
      <xdr:rowOff>371475</xdr:rowOff>
    </xdr:to>
    <xdr:sp macro="" textlink="">
      <xdr:nvSpPr>
        <xdr:cNvPr id="57" name="Rectangle: Rounded Corners 56">
          <a:hlinkClick xmlns:r="http://schemas.openxmlformats.org/officeDocument/2006/relationships" r:id="rId18"/>
          <a:extLst>
            <a:ext uri="{FF2B5EF4-FFF2-40B4-BE49-F238E27FC236}">
              <a16:creationId xmlns:a16="http://schemas.microsoft.com/office/drawing/2014/main" id="{F0F01706-EB9F-47AD-B81E-E6CFE7254F44}"/>
            </a:ext>
          </a:extLst>
        </xdr:cNvPr>
        <xdr:cNvSpPr/>
      </xdr:nvSpPr>
      <xdr:spPr>
        <a:xfrm>
          <a:off x="2933700" y="95250"/>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600075</xdr:colOff>
      <xdr:row>0</xdr:row>
      <xdr:rowOff>85725</xdr:rowOff>
    </xdr:from>
    <xdr:to>
      <xdr:col>0</xdr:col>
      <xdr:colOff>1000125</xdr:colOff>
      <xdr:row>0</xdr:row>
      <xdr:rowOff>361950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C462812-C8F6-4ECF-87F2-8136657EA761}"/>
            </a:ext>
          </a:extLst>
        </xdr:cNvPr>
        <xdr:cNvSpPr/>
      </xdr:nvSpPr>
      <xdr:spPr>
        <a:xfrm>
          <a:off x="600075" y="85725"/>
          <a:ext cx="4000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Jan</a:t>
          </a:r>
        </a:p>
      </xdr:txBody>
    </xdr:sp>
    <xdr:clientData/>
  </xdr:twoCellAnchor>
  <xdr:twoCellAnchor>
    <xdr:from>
      <xdr:col>0</xdr:col>
      <xdr:colOff>9525</xdr:colOff>
      <xdr:row>0</xdr:row>
      <xdr:rowOff>85725</xdr:rowOff>
    </xdr:from>
    <xdr:to>
      <xdr:col>0</xdr:col>
      <xdr:colOff>561974</xdr:colOff>
      <xdr:row>0</xdr:row>
      <xdr:rowOff>361950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8C1FB7A3-B35A-4AE4-8868-CBA8A61160D8}"/>
            </a:ext>
          </a:extLst>
        </xdr:cNvPr>
        <xdr:cNvSpPr/>
      </xdr:nvSpPr>
      <xdr:spPr>
        <a:xfrm>
          <a:off x="9525" y="85725"/>
          <a:ext cx="552449" cy="276225"/>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Home</a:t>
          </a:r>
        </a:p>
      </xdr:txBody>
    </xdr:sp>
    <xdr:clientData/>
  </xdr:twoCellAnchor>
  <xdr:twoCellAnchor>
    <xdr:from>
      <xdr:col>0</xdr:col>
      <xdr:colOff>1038224</xdr:colOff>
      <xdr:row>0</xdr:row>
      <xdr:rowOff>66675</xdr:rowOff>
    </xdr:from>
    <xdr:to>
      <xdr:col>0</xdr:col>
      <xdr:colOff>1476375</xdr:colOff>
      <xdr:row>0</xdr:row>
      <xdr:rowOff>342900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495A1912-2320-46A5-87D9-E3A16CEE4351}"/>
            </a:ext>
          </a:extLst>
        </xdr:cNvPr>
        <xdr:cNvSpPr/>
      </xdr:nvSpPr>
      <xdr:spPr>
        <a:xfrm>
          <a:off x="1038224" y="66675"/>
          <a:ext cx="4381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Feb..</a:t>
          </a:r>
        </a:p>
      </xdr:txBody>
    </xdr:sp>
    <xdr:clientData/>
  </xdr:twoCellAnchor>
  <xdr:twoCellAnchor>
    <xdr:from>
      <xdr:col>0</xdr:col>
      <xdr:colOff>3409949</xdr:colOff>
      <xdr:row>0</xdr:row>
      <xdr:rowOff>85725</xdr:rowOff>
    </xdr:from>
    <xdr:to>
      <xdr:col>0</xdr:col>
      <xdr:colOff>3838574</xdr:colOff>
      <xdr:row>0</xdr:row>
      <xdr:rowOff>361950</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0C1656DC-0E44-4DC2-9F31-974627326DCF}"/>
            </a:ext>
          </a:extLst>
        </xdr:cNvPr>
        <xdr:cNvSpPr/>
      </xdr:nvSpPr>
      <xdr:spPr>
        <a:xfrm>
          <a:off x="3409949" y="85725"/>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Jul</a:t>
          </a:r>
        </a:p>
      </xdr:txBody>
    </xdr:sp>
    <xdr:clientData/>
  </xdr:twoCellAnchor>
  <xdr:twoCellAnchor>
    <xdr:from>
      <xdr:col>0</xdr:col>
      <xdr:colOff>3867149</xdr:colOff>
      <xdr:row>0</xdr:row>
      <xdr:rowOff>85725</xdr:rowOff>
    </xdr:from>
    <xdr:to>
      <xdr:col>1</xdr:col>
      <xdr:colOff>400049</xdr:colOff>
      <xdr:row>0</xdr:row>
      <xdr:rowOff>361950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33E855B1-DF3A-4899-9365-FE1D811ABC9C}"/>
            </a:ext>
          </a:extLst>
        </xdr:cNvPr>
        <xdr:cNvSpPr/>
      </xdr:nvSpPr>
      <xdr:spPr>
        <a:xfrm>
          <a:off x="3867149" y="85725"/>
          <a:ext cx="45720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Aug</a:t>
          </a:r>
        </a:p>
      </xdr:txBody>
    </xdr:sp>
    <xdr:clientData/>
  </xdr:twoCellAnchor>
  <xdr:twoCellAnchor>
    <xdr:from>
      <xdr:col>1</xdr:col>
      <xdr:colOff>438148</xdr:colOff>
      <xdr:row>0</xdr:row>
      <xdr:rowOff>95250</xdr:rowOff>
    </xdr:from>
    <xdr:to>
      <xdr:col>1</xdr:col>
      <xdr:colOff>885825</xdr:colOff>
      <xdr:row>0</xdr:row>
      <xdr:rowOff>371475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09E781EC-03C9-4336-9A75-C140430E0CBF}"/>
            </a:ext>
          </a:extLst>
        </xdr:cNvPr>
        <xdr:cNvSpPr/>
      </xdr:nvSpPr>
      <xdr:spPr>
        <a:xfrm>
          <a:off x="4362448" y="95250"/>
          <a:ext cx="447677"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Sep</a:t>
          </a:r>
        </a:p>
      </xdr:txBody>
    </xdr:sp>
    <xdr:clientData/>
  </xdr:twoCellAnchor>
  <xdr:twoCellAnchor>
    <xdr:from>
      <xdr:col>1</xdr:col>
      <xdr:colOff>933450</xdr:colOff>
      <xdr:row>0</xdr:row>
      <xdr:rowOff>85725</xdr:rowOff>
    </xdr:from>
    <xdr:to>
      <xdr:col>1</xdr:col>
      <xdr:colOff>1400175</xdr:colOff>
      <xdr:row>0</xdr:row>
      <xdr:rowOff>371475</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350FB050-69BD-416A-AE81-D735F8FBDD92}"/>
            </a:ext>
          </a:extLst>
        </xdr:cNvPr>
        <xdr:cNvSpPr/>
      </xdr:nvSpPr>
      <xdr:spPr>
        <a:xfrm flipH="1">
          <a:off x="4857750" y="85725"/>
          <a:ext cx="466725" cy="28575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Oct</a:t>
          </a:r>
        </a:p>
      </xdr:txBody>
    </xdr:sp>
    <xdr:clientData/>
  </xdr:twoCellAnchor>
  <xdr:twoCellAnchor>
    <xdr:from>
      <xdr:col>1</xdr:col>
      <xdr:colOff>1447798</xdr:colOff>
      <xdr:row>0</xdr:row>
      <xdr:rowOff>95250</xdr:rowOff>
    </xdr:from>
    <xdr:to>
      <xdr:col>2</xdr:col>
      <xdr:colOff>219074</xdr:colOff>
      <xdr:row>0</xdr:row>
      <xdr:rowOff>371475</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DA186C8F-5846-4BE7-86AD-CC8B02810516}"/>
            </a:ext>
          </a:extLst>
        </xdr:cNvPr>
        <xdr:cNvSpPr/>
      </xdr:nvSpPr>
      <xdr:spPr>
        <a:xfrm flipH="1">
          <a:off x="5372098" y="95250"/>
          <a:ext cx="476251"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Nov</a:t>
          </a:r>
        </a:p>
      </xdr:txBody>
    </xdr:sp>
    <xdr:clientData/>
  </xdr:twoCellAnchor>
  <xdr:twoCellAnchor>
    <xdr:from>
      <xdr:col>2</xdr:col>
      <xdr:colOff>257174</xdr:colOff>
      <xdr:row>0</xdr:row>
      <xdr:rowOff>85725</xdr:rowOff>
    </xdr:from>
    <xdr:to>
      <xdr:col>2</xdr:col>
      <xdr:colOff>723900</xdr:colOff>
      <xdr:row>0</xdr:row>
      <xdr:rowOff>361950</xdr:rowOff>
    </xdr:to>
    <xdr:sp macro="" textlink="">
      <xdr:nvSpPr>
        <xdr:cNvPr id="10" name="Rectangle: Rounded Corners 9">
          <a:hlinkClick xmlns:r="http://schemas.openxmlformats.org/officeDocument/2006/relationships" r:id="rId9"/>
          <a:extLst>
            <a:ext uri="{FF2B5EF4-FFF2-40B4-BE49-F238E27FC236}">
              <a16:creationId xmlns:a16="http://schemas.microsoft.com/office/drawing/2014/main" id="{EA6C7CAF-A504-46D7-BABD-D4C225077A5F}"/>
            </a:ext>
          </a:extLst>
        </xdr:cNvPr>
        <xdr:cNvSpPr/>
      </xdr:nvSpPr>
      <xdr:spPr>
        <a:xfrm>
          <a:off x="5886449" y="85725"/>
          <a:ext cx="466726"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Dec</a:t>
          </a:r>
        </a:p>
      </xdr:txBody>
    </xdr:sp>
    <xdr:clientData/>
  </xdr:twoCellAnchor>
  <xdr:twoCellAnchor>
    <xdr:from>
      <xdr:col>2</xdr:col>
      <xdr:colOff>752474</xdr:colOff>
      <xdr:row>0</xdr:row>
      <xdr:rowOff>76200</xdr:rowOff>
    </xdr:from>
    <xdr:to>
      <xdr:col>3</xdr:col>
      <xdr:colOff>85724</xdr:colOff>
      <xdr:row>0</xdr:row>
      <xdr:rowOff>352425</xdr:rowOff>
    </xdr:to>
    <xdr:sp macro="" textlink="">
      <xdr:nvSpPr>
        <xdr:cNvPr id="11" name="Rectangle: Rounded Corners 10">
          <a:hlinkClick xmlns:r="http://schemas.openxmlformats.org/officeDocument/2006/relationships" r:id="rId10"/>
          <a:extLst>
            <a:ext uri="{FF2B5EF4-FFF2-40B4-BE49-F238E27FC236}">
              <a16:creationId xmlns:a16="http://schemas.microsoft.com/office/drawing/2014/main" id="{7F689A70-5234-487D-8D25-B121506BBCCA}"/>
            </a:ext>
          </a:extLst>
        </xdr:cNvPr>
        <xdr:cNvSpPr/>
      </xdr:nvSpPr>
      <xdr:spPr>
        <a:xfrm>
          <a:off x="6381749" y="76200"/>
          <a:ext cx="638175" cy="276225"/>
        </a:xfrm>
        <a:prstGeom prst="roundRect">
          <a:avLst/>
        </a:prstGeom>
        <a:solidFill>
          <a:schemeClr val="accent5"/>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Data</a:t>
          </a:r>
        </a:p>
      </xdr:txBody>
    </xdr:sp>
    <xdr:clientData/>
  </xdr:twoCellAnchor>
  <xdr:twoCellAnchor>
    <xdr:from>
      <xdr:col>3</xdr:col>
      <xdr:colOff>133349</xdr:colOff>
      <xdr:row>0</xdr:row>
      <xdr:rowOff>76200</xdr:rowOff>
    </xdr:from>
    <xdr:to>
      <xdr:col>3</xdr:col>
      <xdr:colOff>733425</xdr:colOff>
      <xdr:row>0</xdr:row>
      <xdr:rowOff>352425</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EBC40E67-88E6-430B-83FB-DA13BB3563D5}"/>
            </a:ext>
          </a:extLst>
        </xdr:cNvPr>
        <xdr:cNvSpPr/>
      </xdr:nvSpPr>
      <xdr:spPr>
        <a:xfrm>
          <a:off x="7067549" y="76200"/>
          <a:ext cx="600076" cy="276225"/>
        </a:xfrm>
        <a:prstGeom prst="roundRect">
          <a:avLst/>
        </a:prstGeom>
        <a:solidFill>
          <a:srgbClr val="00206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Aleca</a:t>
          </a:r>
        </a:p>
      </xdr:txBody>
    </xdr:sp>
    <xdr:clientData/>
  </xdr:twoCellAnchor>
  <xdr:twoCellAnchor>
    <xdr:from>
      <xdr:col>3</xdr:col>
      <xdr:colOff>761999</xdr:colOff>
      <xdr:row>0</xdr:row>
      <xdr:rowOff>85725</xdr:rowOff>
    </xdr:from>
    <xdr:to>
      <xdr:col>4</xdr:col>
      <xdr:colOff>114299</xdr:colOff>
      <xdr:row>0</xdr:row>
      <xdr:rowOff>361950</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04FDAE61-7053-4D38-B310-D7FA9766F7AD}"/>
            </a:ext>
          </a:extLst>
        </xdr:cNvPr>
        <xdr:cNvSpPr/>
      </xdr:nvSpPr>
      <xdr:spPr>
        <a:xfrm>
          <a:off x="7696199" y="85725"/>
          <a:ext cx="590550" cy="276225"/>
        </a:xfrm>
        <a:prstGeom prst="roundRect">
          <a:avLst/>
        </a:prstGeom>
        <a:solidFill>
          <a:srgbClr val="92D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Sante</a:t>
          </a:r>
        </a:p>
      </xdr:txBody>
    </xdr:sp>
    <xdr:clientData/>
  </xdr:twoCellAnchor>
  <xdr:twoCellAnchor>
    <xdr:from>
      <xdr:col>4</xdr:col>
      <xdr:colOff>161923</xdr:colOff>
      <xdr:row>0</xdr:row>
      <xdr:rowOff>104775</xdr:rowOff>
    </xdr:from>
    <xdr:to>
      <xdr:col>4</xdr:col>
      <xdr:colOff>790574</xdr:colOff>
      <xdr:row>0</xdr:row>
      <xdr:rowOff>381000</xdr:rowOff>
    </xdr:to>
    <xdr:sp macro="" textlink="">
      <xdr:nvSpPr>
        <xdr:cNvPr id="14" name="Rectangle: Rounded Corners 13">
          <a:hlinkClick xmlns:r="http://schemas.openxmlformats.org/officeDocument/2006/relationships" r:id="rId13"/>
          <a:extLst>
            <a:ext uri="{FF2B5EF4-FFF2-40B4-BE49-F238E27FC236}">
              <a16:creationId xmlns:a16="http://schemas.microsoft.com/office/drawing/2014/main" id="{115068A0-434A-4A18-8EC3-8A4A0A4E477B}"/>
            </a:ext>
          </a:extLst>
        </xdr:cNvPr>
        <xdr:cNvSpPr/>
      </xdr:nvSpPr>
      <xdr:spPr>
        <a:xfrm>
          <a:off x="8334373" y="104775"/>
          <a:ext cx="628651" cy="276225"/>
        </a:xfrm>
        <a:prstGeom prst="roundRect">
          <a:avLst/>
        </a:prstGeom>
        <a:solidFill>
          <a:srgbClr val="00B05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Alante</a:t>
          </a:r>
        </a:p>
      </xdr:txBody>
    </xdr:sp>
    <xdr:clientData/>
  </xdr:twoCellAnchor>
  <xdr:twoCellAnchor>
    <xdr:from>
      <xdr:col>4</xdr:col>
      <xdr:colOff>847722</xdr:colOff>
      <xdr:row>0</xdr:row>
      <xdr:rowOff>114300</xdr:rowOff>
    </xdr:from>
    <xdr:to>
      <xdr:col>5</xdr:col>
      <xdr:colOff>323850</xdr:colOff>
      <xdr:row>0</xdr:row>
      <xdr:rowOff>390525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56140E45-0F19-4407-A207-E92F40123F9A}"/>
            </a:ext>
          </a:extLst>
        </xdr:cNvPr>
        <xdr:cNvSpPr/>
      </xdr:nvSpPr>
      <xdr:spPr>
        <a:xfrm>
          <a:off x="9020172" y="114300"/>
          <a:ext cx="714378" cy="276225"/>
        </a:xfrm>
        <a:prstGeom prst="roundRect">
          <a:avLst/>
        </a:prstGeom>
        <a:solidFill>
          <a:srgbClr val="00B0F0"/>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Aptos Narrow" panose="02110004020202020204"/>
              <a:ea typeface="+mn-ea"/>
              <a:cs typeface="+mn-cs"/>
            </a:rPr>
            <a:t>Alumus</a:t>
          </a:r>
        </a:p>
      </xdr:txBody>
    </xdr:sp>
    <xdr:clientData/>
  </xdr:twoCellAnchor>
  <xdr:twoCellAnchor>
    <xdr:from>
      <xdr:col>0</xdr:col>
      <xdr:colOff>1514474</xdr:colOff>
      <xdr:row>0</xdr:row>
      <xdr:rowOff>66675</xdr:rowOff>
    </xdr:from>
    <xdr:to>
      <xdr:col>0</xdr:col>
      <xdr:colOff>1962149</xdr:colOff>
      <xdr:row>0</xdr:row>
      <xdr:rowOff>342900</xdr:rowOff>
    </xdr:to>
    <xdr:sp macro="" textlink="">
      <xdr:nvSpPr>
        <xdr:cNvPr id="16" name="Rectangle: Rounded Corners 15">
          <a:hlinkClick xmlns:r="http://schemas.openxmlformats.org/officeDocument/2006/relationships" r:id="rId15"/>
          <a:extLst>
            <a:ext uri="{FF2B5EF4-FFF2-40B4-BE49-F238E27FC236}">
              <a16:creationId xmlns:a16="http://schemas.microsoft.com/office/drawing/2014/main" id="{F2A1D653-5971-44D0-8299-FA0D37E10846}"/>
            </a:ext>
          </a:extLst>
        </xdr:cNvPr>
        <xdr:cNvSpPr/>
      </xdr:nvSpPr>
      <xdr:spPr>
        <a:xfrm>
          <a:off x="1514474" y="66675"/>
          <a:ext cx="4476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Mar..</a:t>
          </a:r>
        </a:p>
      </xdr:txBody>
    </xdr:sp>
    <xdr:clientData/>
  </xdr:twoCellAnchor>
  <xdr:twoCellAnchor>
    <xdr:from>
      <xdr:col>0</xdr:col>
      <xdr:colOff>2009774</xdr:colOff>
      <xdr:row>0</xdr:row>
      <xdr:rowOff>76200</xdr:rowOff>
    </xdr:from>
    <xdr:to>
      <xdr:col>0</xdr:col>
      <xdr:colOff>2419349</xdr:colOff>
      <xdr:row>0</xdr:row>
      <xdr:rowOff>352425</xdr:rowOff>
    </xdr:to>
    <xdr:sp macro="" textlink="">
      <xdr:nvSpPr>
        <xdr:cNvPr id="17" name="Rectangle: Rounded Corners 16">
          <a:hlinkClick xmlns:r="http://schemas.openxmlformats.org/officeDocument/2006/relationships" r:id="rId16"/>
          <a:extLst>
            <a:ext uri="{FF2B5EF4-FFF2-40B4-BE49-F238E27FC236}">
              <a16:creationId xmlns:a16="http://schemas.microsoft.com/office/drawing/2014/main" id="{9AC2C424-B07E-478C-A5E4-C7CB6FC50E64}"/>
            </a:ext>
          </a:extLst>
        </xdr:cNvPr>
        <xdr:cNvSpPr/>
      </xdr:nvSpPr>
      <xdr:spPr>
        <a:xfrm>
          <a:off x="2009774" y="76200"/>
          <a:ext cx="40957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Apr..</a:t>
          </a:r>
        </a:p>
      </xdr:txBody>
    </xdr:sp>
    <xdr:clientData/>
  </xdr:twoCellAnchor>
  <xdr:twoCellAnchor>
    <xdr:from>
      <xdr:col>0</xdr:col>
      <xdr:colOff>2466975</xdr:colOff>
      <xdr:row>0</xdr:row>
      <xdr:rowOff>85725</xdr:rowOff>
    </xdr:from>
    <xdr:to>
      <xdr:col>0</xdr:col>
      <xdr:colOff>2905125</xdr:colOff>
      <xdr:row>0</xdr:row>
      <xdr:rowOff>361950</xdr:rowOff>
    </xdr:to>
    <xdr:sp macro="" textlink="">
      <xdr:nvSpPr>
        <xdr:cNvPr id="18" name="Rectangle: Rounded Corners 17">
          <a:hlinkClick xmlns:r="http://schemas.openxmlformats.org/officeDocument/2006/relationships" r:id="rId17"/>
          <a:extLst>
            <a:ext uri="{FF2B5EF4-FFF2-40B4-BE49-F238E27FC236}">
              <a16:creationId xmlns:a16="http://schemas.microsoft.com/office/drawing/2014/main" id="{922A0582-421D-436E-8F27-20B4EA47B5D6}"/>
            </a:ext>
          </a:extLst>
        </xdr:cNvPr>
        <xdr:cNvSpPr/>
      </xdr:nvSpPr>
      <xdr:spPr>
        <a:xfrm>
          <a:off x="2466975" y="85725"/>
          <a:ext cx="438150"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May</a:t>
          </a:r>
        </a:p>
      </xdr:txBody>
    </xdr:sp>
    <xdr:clientData/>
  </xdr:twoCellAnchor>
  <xdr:twoCellAnchor>
    <xdr:from>
      <xdr:col>0</xdr:col>
      <xdr:colOff>2933700</xdr:colOff>
      <xdr:row>0</xdr:row>
      <xdr:rowOff>95250</xdr:rowOff>
    </xdr:from>
    <xdr:to>
      <xdr:col>0</xdr:col>
      <xdr:colOff>3362325</xdr:colOff>
      <xdr:row>0</xdr:row>
      <xdr:rowOff>371475</xdr:rowOff>
    </xdr:to>
    <xdr:sp macro="" textlink="">
      <xdr:nvSpPr>
        <xdr:cNvPr id="19" name="Rectangle: Rounded Corners 18">
          <a:hlinkClick xmlns:r="http://schemas.openxmlformats.org/officeDocument/2006/relationships" r:id="rId18"/>
          <a:extLst>
            <a:ext uri="{FF2B5EF4-FFF2-40B4-BE49-F238E27FC236}">
              <a16:creationId xmlns:a16="http://schemas.microsoft.com/office/drawing/2014/main" id="{82332606-D205-43CF-9F5A-23D9004245B0}"/>
            </a:ext>
          </a:extLst>
        </xdr:cNvPr>
        <xdr:cNvSpPr/>
      </xdr:nvSpPr>
      <xdr:spPr>
        <a:xfrm>
          <a:off x="2933700" y="95250"/>
          <a:ext cx="428625" cy="2762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Jun</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EDCE5FDA-ED9E-4FDB-88BD-568B74818864}" autoFormatId="16" applyNumberFormats="0" applyBorderFormats="0" applyFontFormats="0" applyPatternFormats="0" applyAlignmentFormats="0" applyWidthHeightFormats="0">
  <queryTableRefresh nextId="24">
    <queryTableFields count="5">
      <queryTableField id="1" name="Recruiting or Development" tableColumnId="1"/>
      <queryTableField id="2" name="Event Name" tableColumnId="2"/>
      <queryTableField id="3" name="Event Date" tableColumnId="3"/>
      <queryTableField id="4" name="Approval Status" tableColumnId="4"/>
      <queryTableField id="7" name="Which Budget/Department will pay for event?"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52667FD7-5A0F-4118-A07E-D04186ADE82B}" autoFormatId="16" applyNumberFormats="0" applyBorderFormats="0" applyFontFormats="0" applyPatternFormats="0" applyAlignmentFormats="0" applyWidthHeightFormats="0">
  <queryTableRefresh nextId="10">
    <queryTableFields count="4">
      <queryTableField id="1" name="Recruiting or Development" tableColumnId="1"/>
      <queryTableField id="2" name="Event Name" tableColumnId="2"/>
      <queryTableField id="3" name="Event Date" tableColumnId="3"/>
      <queryTableField id="4" name="Approval Status"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607B13E-72C2-4948-A072-F4033F5A22AD}" name="Approval_Status" displayName="Approval_Status" ref="H5:L13" tableType="queryTable" totalsRowShown="0" headerRowDxfId="634" dataDxfId="633">
  <autoFilter ref="H5:L13" xr:uid="{0607B13E-72C2-4948-A072-F4033F5A22AD}"/>
  <tableColumns count="5">
    <tableColumn id="1" xr3:uid="{2C91E363-F702-40B3-BD73-178AA3804A19}" uniqueName="1" name="Recruiting or Development" queryTableFieldId="1" dataDxfId="632"/>
    <tableColumn id="2" xr3:uid="{76CDB062-7F76-468D-B6C1-05B31A82E98D}" uniqueName="2" name="Event Name" queryTableFieldId="2" dataDxfId="631"/>
    <tableColumn id="3" xr3:uid="{0D54182F-37CD-42C8-82D8-B3BD3FBDBBE5}" uniqueName="3" name="Event Date" queryTableFieldId="3" dataDxfId="630"/>
    <tableColumn id="4" xr3:uid="{11D6A66B-D2BE-43F0-B90C-8B986DFB70EE}" uniqueName="4" name="Approval Status" queryTableFieldId="4" dataDxfId="629"/>
    <tableColumn id="7" xr3:uid="{C45834A0-D47D-4D6F-BB59-5CF405A74977}" uniqueName="7" name="Which Budget/Department will pay for event?" queryTableFieldId="7" dataDxfId="62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A85E79-2F2B-4D2B-857E-F08CF5CB821E}" name="Upcoming_Events" displayName="Upcoming_Events" ref="H19:K22" tableType="queryTable" totalsRowShown="0" headerRowDxfId="627" dataDxfId="626">
  <autoFilter ref="H19:K22" xr:uid="{93A85E79-2F2B-4D2B-857E-F08CF5CB821E}"/>
  <tableColumns count="4">
    <tableColumn id="1" xr3:uid="{580196E8-05D2-4469-A20F-411294195C60}" uniqueName="1" name="Recruiting or Development" queryTableFieldId="1" dataDxfId="625"/>
    <tableColumn id="2" xr3:uid="{423861C7-2753-405F-A139-4BA7EBA6DDB1}" uniqueName="2" name="Event Name" queryTableFieldId="2" dataDxfId="624"/>
    <tableColumn id="3" xr3:uid="{700F5FE3-ECD1-46E5-9404-36CB265DBCCF}" uniqueName="3" name="Event Date" queryTableFieldId="3" dataDxfId="623"/>
    <tableColumn id="4" xr3:uid="{9BAA2CD0-B192-4871-9AB6-78B143F8E467}" uniqueName="4" name="Approval Status" queryTableFieldId="4" dataDxfId="62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1D51016-6CF7-4C5B-9AE2-E0996E45FE98}" name="Table15" displayName="Table15" ref="A30:C36" totalsRowShown="0" headerRowDxfId="621" dataDxfId="620" tableBorderDxfId="619">
  <autoFilter ref="A30:C36" xr:uid="{71D51016-6CF7-4C5B-9AE2-E0996E45FE98}"/>
  <tableColumns count="3">
    <tableColumn id="1" xr3:uid="{E13A4E35-F15A-44A0-9045-7DCB8F20E560}" name="Department" dataDxfId="618"/>
    <tableColumn id="2" xr3:uid="{F783B8A9-3098-4C17-BE03-89B7104EC505}" name="Projected Costs" dataDxfId="617" dataCellStyle="Currency">
      <calculatedColumnFormula>Sante!I62</calculatedColumnFormula>
    </tableColumn>
    <tableColumn id="3" xr3:uid="{A91B6F04-856B-49C4-9BA6-928DBAAAEF38}" name="Actual Costs" dataDxfId="616" dataCellStyle="Currency">
      <calculatedColumnFormula>Sante!D62</calculatedColumnFormula>
    </tableColumn>
  </tableColumns>
  <tableStyleInfo name="TableStyleDark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957030-98F0-4D87-8ED7-CE00F65DACEA}" name="Table1" displayName="Table1" ref="A1:Q1048576" totalsRowShown="0" headerRowDxfId="77" dataDxfId="76">
  <autoFilter ref="A1:Q1048576" xr:uid="{09957030-98F0-4D87-8ED7-CE00F65DACEA}"/>
  <sortState xmlns:xlrd2="http://schemas.microsoft.com/office/spreadsheetml/2017/richdata2" ref="A2:Q33">
    <sortCondition ref="C1:C1048576"/>
  </sortState>
  <tableColumns count="17">
    <tableColumn id="1" xr3:uid="{569DFB7A-3897-46BC-8B1D-9051295AF812}" name="Recruiting or Development" dataDxfId="75"/>
    <tableColumn id="2" xr3:uid="{7F815A06-2CC7-4749-895A-D0D9766C123B}" name="Event Name" dataDxfId="74"/>
    <tableColumn id="3" xr3:uid="{0098EB8C-B040-4B22-8D54-2EC9C3F26ADC}" name="Event Date" dataDxfId="73"/>
    <tableColumn id="17" xr3:uid="{DA772F89-151D-4D6E-973D-DEE055CEFDA8}" name="State?" dataDxfId="72"/>
    <tableColumn id="4" xr3:uid="{F6703968-0EC0-47FF-9DFF-3EE38300F170}" name="Approval Status" dataDxfId="71"/>
    <tableColumn id="5" xr3:uid="{50632CA1-144E-4DCA-B853-C62E1C6C4563}" name="Approved by?" dataDxfId="70"/>
    <tableColumn id="6" xr3:uid="{C04F1097-2A0E-4FF7-B070-12168A90E833}" name="Should we attend again? " dataDxfId="69"/>
    <tableColumn id="7" xr3:uid="{CABAF245-7427-4DD1-AE9A-3F9A0DECC732}" name="Which Budget/Department will pay for event?" dataDxfId="68"/>
    <tableColumn id="8" xr3:uid="{3B907ACA-EADA-4616-839D-07587A4635B3}" name="Who was Event Lead?" dataDxfId="67"/>
    <tableColumn id="9" xr3:uid="{5F647A45-3F8D-4858-96FF-D1EEAC99CE08}" name="Who attended the Event?" dataDxfId="66"/>
    <tableColumn id="10" xr3:uid="{6CA292B2-5338-4D73-B811-1D5BA2B75399}" name="How many contacts were made?" dataDxfId="65"/>
    <tableColumn id="11" xr3:uid="{0B4BBE6D-DFA8-47AD-94C5-B4ABB9A06439}" name="How many attendees are expecteed to attend? " dataDxfId="64"/>
    <tableColumn id="12" xr3:uid="{12930DE7-BA69-4C60-95D9-AC1DF004F01E}" name="Cost of attending? " dataDxfId="63"/>
    <tableColumn id="13" xr3:uid="{A127D07D-99BF-41D1-852D-F3F6330129E3}" name="Total Budget Needed" dataDxfId="62"/>
    <tableColumn id="14" xr3:uid="{423EBA57-0677-495D-927B-15851C04BF68}" name="# of leads or interested applicants at the event" dataDxfId="61"/>
    <tableColumn id="15" xr3:uid="{DBE4193F-D8DF-41C3-B88C-60A7A7C9DF5E}" name="# of applicants who actually applied" dataDxfId="60"/>
    <tableColumn id="16" xr3:uid="{53AFEBAD-A620-4E81-B3C8-D02C4001F8C2}" name="# of applicants hired after 90 day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5BD2C5-AF02-4F80-BC7F-73DAF381B611}" name="Table5" displayName="Table5" ref="D1:D1048576" totalsRowShown="0" headerRowDxfId="56" dataDxfId="55" tableBorderDxfId="54">
  <autoFilter ref="D1:D1048576" xr:uid="{185BD2C5-AF02-4F80-BC7F-73DAF381B611}"/>
  <tableColumns count="1">
    <tableColumn id="1" xr3:uid="{D456E130-21F6-48E4-902E-7B441DF83B3A}" name="Column1" dataDxfId="53"/>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8644B7-9884-4D6B-8D41-68E0A1CCBA83}" name="Table9" displayName="Table9" ref="I2:I1048576" totalsRowShown="0" headerRowDxfId="52" dataDxfId="50" headerRowBorderDxfId="51" tableBorderDxfId="49" headerRowCellStyle="Currency" dataCellStyle="Currency">
  <autoFilter ref="I2:I1048576" xr:uid="{358644B7-9884-4D6B-8D41-68E0A1CCBA83}"/>
  <tableColumns count="1">
    <tableColumn id="1" xr3:uid="{50AB6B44-2115-4C58-A341-824872CA55A1}" name="Sante's Projected Cost" dataDxfId="48" dataCellStyle="Currency">
      <calculatedColumnFormula array="1">IFERROR(
  VALUE(H3) / COUNTA(_xlfn.FILTERXML("&lt;t&gt;&lt;s&gt;" &amp; SUBSTITUTE(G3, " / ", "&lt;/s&gt;&lt;s&gt;") &amp; "&lt;/s&gt;&lt;/t&gt;", "//s")),
  0
)</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05E9C67-DFE1-4A24-8A30-9FEDDF8A403B}" name="Table911" displayName="Table911" ref="I2:I1048576" totalsRowShown="0" headerRowDxfId="43" dataDxfId="41" headerRowBorderDxfId="42" tableBorderDxfId="40" headerRowCellStyle="Currency" dataCellStyle="Currency">
  <autoFilter ref="I2:I1048576" xr:uid="{305E9C67-DFE1-4A24-8A30-9FEDDF8A403B}"/>
  <tableColumns count="1">
    <tableColumn id="1" xr3:uid="{F13030B5-DACB-4BF9-B734-7E6045915683}" name="Sante's Projected Cost" dataDxfId="39" dataCellStyle="Currency">
      <calculatedColumnFormula array="1">IFERROR(
  VALUE(H3) / COUNTA(_xlfn.FILTERXML("&lt;t&gt;&lt;s&gt;" &amp; SUBSTITUTE(G3, " / ", "&lt;/s&gt;&lt;s&gt;") &amp; "&lt;/s&gt;&lt;/t&gt;", "//s")),
  0
)</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2C813AC-B629-4CAD-BBC5-A50CA856FDE3}" name="Table11" displayName="Table11" ref="D2:D1048576" totalsRowShown="0" headerRowDxfId="38" dataDxfId="36" headerRowBorderDxfId="37" tableBorderDxfId="35">
  <autoFilter ref="D2:D1048576" xr:uid="{42C813AC-B629-4CAD-BBC5-A50CA856FDE3}"/>
  <tableColumns count="1">
    <tableColumn id="1" xr3:uid="{47714EE1-F4DB-4682-8296-F14D891B49F7}" name="Aleca's Cost" dataDxfId="34"/>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0E36491-680B-4465-AA81-3F94DE0DD926}" name="Table91113" displayName="Table91113" ref="I2:I1048576" totalsRowShown="0" headerRowDxfId="27" dataDxfId="25" headerRowBorderDxfId="26" tableBorderDxfId="24" headerRowCellStyle="Currency" dataCellStyle="Currency">
  <autoFilter ref="I2:I1048576" xr:uid="{60E36491-680B-4465-AA81-3F94DE0DD926}"/>
  <tableColumns count="1">
    <tableColumn id="1" xr3:uid="{1437C7E8-0B72-4BF2-94D9-490C7816EC2E}" name="Sante's Projected Cost" dataDxfId="23" dataCellStyle="Currency">
      <calculatedColumnFormula array="1">IFERROR(
  VALUE(H3) / COUNTA(_xlfn.FILTERXML("&lt;t&gt;&lt;s&gt;" &amp; SUBSTITUTE(G3, " / ", "&lt;/s&gt;&lt;s&gt;") &amp; "&lt;/s&gt;&lt;/t&gt;", "//s")),
  0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9B64FB6-403C-4D46-9F98-D53C60032E86}" name="Table13" displayName="Table13" ref="D2:D1048576" totalsRowShown="0" headerRowDxfId="22" dataDxfId="20" headerRowBorderDxfId="21" tableBorderDxfId="19">
  <autoFilter ref="D2:D1048576" xr:uid="{D9B64FB6-403C-4D46-9F98-D53C60032E86}"/>
  <tableColumns count="1">
    <tableColumn id="1" xr3:uid="{1264B7ED-F8AF-463C-99F7-B961EC36602F}" name="Alante's Cost" dataDxfId="18"/>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7A5AA75-F2B9-4D32-AFE8-E887128A510B}" name="Table915" displayName="Table915" ref="I2:I1048576" totalsRowShown="0" headerRowDxfId="13" dataDxfId="11" headerRowBorderDxfId="12" tableBorderDxfId="10" headerRowCellStyle="Currency" dataCellStyle="Currency">
  <autoFilter ref="I2:I1048576" xr:uid="{27A5AA75-F2B9-4D32-AFE8-E887128A510B}"/>
  <tableColumns count="1">
    <tableColumn id="1" xr3:uid="{73FE318F-2A15-4BA5-84B7-80BFEDE637FF}" name="Sante's Projected Cost" dataDxfId="9" dataCellStyle="Currency">
      <calculatedColumnFormula array="1">IFERROR(
  VALUE(H3) / COUNTA(_xlfn.FILTERXML("&lt;t&gt;&lt;s&gt;" &amp; SUBSTITUTE(G3, " / ", "&lt;/s&gt;&lt;s&gt;") &amp; "&lt;/s&gt;&lt;/t&gt;", "//s")),
  0
)</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A3B19-5273-48DC-B002-7C1AFA1A9E59}" name="Table9153" displayName="Table9153" ref="I2:I1048576" totalsRowShown="0" headerRowDxfId="4" dataDxfId="2" headerRowBorderDxfId="3" tableBorderDxfId="1" headerRowCellStyle="Currency" dataCellStyle="Currency">
  <autoFilter ref="I2:I1048576" xr:uid="{E8EA3B19-5273-48DC-B002-7C1AFA1A9E59}"/>
  <tableColumns count="1">
    <tableColumn id="1" xr3:uid="{6982C530-6221-4318-82A6-92E307C9A267}" name="Sante's Projected Cost" dataDxfId="0" dataCellStyle="Currency">
      <calculatedColumnFormula array="1">IFERROR(
  VALUE(H3) / COUNTA(_xlfn.FILTERXML("&lt;t&gt;&lt;s&gt;" &amp; SUBSTITUTE(G3, " / ", "&lt;/s&gt;&lt;s&gt;") &amp; "&lt;/s&gt;&lt;/t&gt;", "//s")),
  0
)</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0D066-59C9-4E1C-AD82-4D023FFA2D2A}">
  <sheetPr codeName="Sheet14"/>
  <dimension ref="A1:AN47"/>
  <sheetViews>
    <sheetView tabSelected="1" zoomScale="90" zoomScaleNormal="90" workbookViewId="0">
      <pane ySplit="1" topLeftCell="A2" activePane="bottomLeft" state="frozen"/>
      <selection pane="bottomLeft" activeCell="H15" sqref="H15"/>
    </sheetView>
  </sheetViews>
  <sheetFormatPr defaultRowHeight="15" x14ac:dyDescent="0.25"/>
  <cols>
    <col min="1" max="1" width="16.42578125" style="37" bestFit="1" customWidth="1"/>
    <col min="2" max="2" width="20.140625" style="37" bestFit="1" customWidth="1"/>
    <col min="3" max="3" width="16.85546875" style="37" bestFit="1" customWidth="1"/>
    <col min="4" max="7" width="9.140625" style="37"/>
    <col min="8" max="8" width="30.42578125" style="37" bestFit="1" customWidth="1"/>
    <col min="9" max="9" width="39.28515625" style="37" bestFit="1" customWidth="1"/>
    <col min="10" max="10" width="15.42578125" style="37" bestFit="1" customWidth="1"/>
    <col min="11" max="11" width="19.7109375" style="37" bestFit="1" customWidth="1"/>
    <col min="12" max="14" width="47.42578125" style="37" bestFit="1" customWidth="1"/>
    <col min="15" max="16" width="15" style="37" bestFit="1" customWidth="1"/>
    <col min="17" max="17" width="47.7109375" style="37" bestFit="1" customWidth="1"/>
    <col min="18" max="18" width="46" style="37" bestFit="1" customWidth="1"/>
    <col min="19" max="19" width="35.7109375" style="37" bestFit="1" customWidth="1"/>
    <col min="20" max="20" width="33.85546875" style="37" bestFit="1" customWidth="1"/>
    <col min="21" max="21" width="19.7109375" style="37" bestFit="1" customWidth="1"/>
    <col min="22" max="24" width="47.42578125" style="37" bestFit="1" customWidth="1"/>
    <col min="25" max="26" width="13.7109375" style="37" bestFit="1" customWidth="1"/>
    <col min="27" max="27" width="14.7109375" style="37" bestFit="1" customWidth="1"/>
    <col min="28" max="29" width="15.7109375" style="37" bestFit="1" customWidth="1"/>
    <col min="30" max="30" width="14.7109375" style="37" bestFit="1" customWidth="1"/>
    <col min="31" max="31" width="13.7109375" style="37" bestFit="1" customWidth="1"/>
    <col min="32" max="32" width="47.42578125" style="37" bestFit="1" customWidth="1"/>
    <col min="33" max="33" width="22.85546875" style="37" bestFit="1" customWidth="1"/>
    <col min="34" max="34" width="26.42578125" style="37" bestFit="1" customWidth="1"/>
    <col min="35" max="35" width="32.7109375" style="37" bestFit="1" customWidth="1"/>
    <col min="36" max="36" width="46.5703125" style="37" bestFit="1" customWidth="1"/>
    <col min="37" max="37" width="20.5703125" style="37" bestFit="1" customWidth="1"/>
    <col min="38" max="38" width="22.28515625" style="37" bestFit="1" customWidth="1"/>
    <col min="39" max="40" width="20.5703125" style="37" bestFit="1" customWidth="1"/>
    <col min="41" max="41" width="13.7109375" style="37" bestFit="1" customWidth="1"/>
    <col min="42" max="16384" width="9.140625" style="37"/>
  </cols>
  <sheetData>
    <row r="1" spans="1:40" s="38" customFormat="1" ht="33" customHeight="1" thickBot="1" x14ac:dyDescent="0.3">
      <c r="A1" s="39"/>
    </row>
    <row r="3" spans="1:40" ht="15.75" thickBot="1" x14ac:dyDescent="0.3">
      <c r="A3" s="37" t="s">
        <v>107</v>
      </c>
    </row>
    <row r="4" spans="1:40" ht="18.75" x14ac:dyDescent="0.3">
      <c r="H4" s="154" t="s">
        <v>124</v>
      </c>
      <c r="I4" s="155"/>
      <c r="J4" s="155"/>
      <c r="K4" s="155"/>
      <c r="L4" s="156"/>
      <c r="M4" s="61"/>
      <c r="N4" s="54"/>
      <c r="O4" s="61"/>
      <c r="P4" s="61"/>
      <c r="Q4" s="61"/>
      <c r="R4" s="54"/>
      <c r="S4" s="54"/>
      <c r="T4" s="54"/>
      <c r="W4" s="61"/>
      <c r="X4" s="54"/>
      <c r="Y4" s="61"/>
      <c r="Z4" s="61"/>
      <c r="AA4" s="61"/>
      <c r="AB4" s="61"/>
      <c r="AC4" s="61"/>
      <c r="AD4" s="61"/>
      <c r="AE4" s="61"/>
      <c r="AF4" s="61"/>
      <c r="AG4" s="54"/>
      <c r="AH4" s="54"/>
      <c r="AI4" s="54"/>
      <c r="AJ4" s="54"/>
      <c r="AK4" s="54"/>
      <c r="AL4" s="54"/>
      <c r="AM4" s="54"/>
      <c r="AN4" s="54"/>
    </row>
    <row r="5" spans="1:40" x14ac:dyDescent="0.25">
      <c r="H5" s="40" t="s">
        <v>126</v>
      </c>
      <c r="I5" s="64" t="s">
        <v>108</v>
      </c>
      <c r="J5" s="64" t="s">
        <v>123</v>
      </c>
      <c r="K5" s="64" t="s">
        <v>120</v>
      </c>
      <c r="L5" s="41" t="s">
        <v>134</v>
      </c>
    </row>
    <row r="6" spans="1:40" x14ac:dyDescent="0.25">
      <c r="H6" s="40" t="s">
        <v>127</v>
      </c>
      <c r="I6" s="64" t="s">
        <v>208</v>
      </c>
      <c r="J6" s="144">
        <v>45818</v>
      </c>
      <c r="K6" s="64" t="s">
        <v>125</v>
      </c>
      <c r="L6" s="41" t="s">
        <v>133</v>
      </c>
    </row>
    <row r="7" spans="1:40" x14ac:dyDescent="0.25">
      <c r="H7" s="40" t="s">
        <v>127</v>
      </c>
      <c r="I7" s="64" t="s">
        <v>207</v>
      </c>
      <c r="J7" s="144">
        <v>45825</v>
      </c>
      <c r="K7" s="64" t="s">
        <v>125</v>
      </c>
      <c r="L7" s="41" t="s">
        <v>133</v>
      </c>
    </row>
    <row r="8" spans="1:40" x14ac:dyDescent="0.25">
      <c r="H8" s="40" t="s">
        <v>127</v>
      </c>
      <c r="I8" s="64" t="s">
        <v>209</v>
      </c>
      <c r="J8" s="144">
        <v>45869</v>
      </c>
      <c r="K8" s="64" t="s">
        <v>125</v>
      </c>
      <c r="L8" s="41" t="s">
        <v>132</v>
      </c>
    </row>
    <row r="9" spans="1:40" x14ac:dyDescent="0.25">
      <c r="H9" s="40" t="s">
        <v>127</v>
      </c>
      <c r="I9" s="64" t="s">
        <v>204</v>
      </c>
      <c r="J9" s="144">
        <v>45923</v>
      </c>
      <c r="K9" s="64" t="s">
        <v>125</v>
      </c>
      <c r="L9" s="41" t="s">
        <v>174</v>
      </c>
    </row>
    <row r="10" spans="1:40" x14ac:dyDescent="0.25">
      <c r="H10" s="40" t="s">
        <v>127</v>
      </c>
      <c r="I10" s="64" t="s">
        <v>117</v>
      </c>
      <c r="J10" s="144">
        <v>45931</v>
      </c>
      <c r="K10" s="64" t="s">
        <v>125</v>
      </c>
      <c r="L10" s="41" t="s">
        <v>133</v>
      </c>
    </row>
    <row r="11" spans="1:40" x14ac:dyDescent="0.25">
      <c r="H11" s="40" t="s">
        <v>127</v>
      </c>
      <c r="I11" s="64" t="s">
        <v>114</v>
      </c>
      <c r="J11" s="144">
        <v>45938</v>
      </c>
      <c r="K11" s="64" t="s">
        <v>125</v>
      </c>
      <c r="L11" s="41" t="s">
        <v>9</v>
      </c>
    </row>
    <row r="12" spans="1:40" x14ac:dyDescent="0.25">
      <c r="H12" s="40" t="s">
        <v>127</v>
      </c>
      <c r="I12" s="64" t="s">
        <v>119</v>
      </c>
      <c r="J12" s="144">
        <v>45959</v>
      </c>
      <c r="K12" s="64" t="s">
        <v>125</v>
      </c>
      <c r="L12" s="41" t="s">
        <v>132</v>
      </c>
    </row>
    <row r="13" spans="1:40" ht="15.75" thickBot="1" x14ac:dyDescent="0.3">
      <c r="H13" s="145" t="s">
        <v>127</v>
      </c>
      <c r="I13" s="146" t="s">
        <v>248</v>
      </c>
      <c r="J13" s="42">
        <v>45962</v>
      </c>
      <c r="K13" s="146" t="s">
        <v>125</v>
      </c>
      <c r="L13" s="147" t="s">
        <v>132</v>
      </c>
    </row>
    <row r="15" spans="1:40" ht="18.75" x14ac:dyDescent="0.3">
      <c r="N15" s="54"/>
      <c r="O15" s="54"/>
      <c r="P15" s="54"/>
      <c r="Q15" s="54"/>
      <c r="R15" s="54"/>
      <c r="S15" s="54"/>
      <c r="T15" s="54"/>
      <c r="U15" s="54"/>
      <c r="V15" s="54"/>
      <c r="W15" s="54"/>
    </row>
    <row r="17" spans="1:17" ht="15.75" thickBot="1" x14ac:dyDescent="0.3"/>
    <row r="18" spans="1:17" ht="18.75" x14ac:dyDescent="0.3">
      <c r="H18" s="154" t="s">
        <v>141</v>
      </c>
      <c r="I18" s="155"/>
      <c r="J18" s="155"/>
      <c r="K18" s="156"/>
      <c r="L18" s="54"/>
    </row>
    <row r="19" spans="1:17" x14ac:dyDescent="0.25">
      <c r="H19" s="40" t="s">
        <v>126</v>
      </c>
      <c r="I19" s="64" t="s">
        <v>108</v>
      </c>
      <c r="J19" s="64" t="s">
        <v>123</v>
      </c>
      <c r="K19" s="41" t="s">
        <v>120</v>
      </c>
    </row>
    <row r="20" spans="1:17" x14ac:dyDescent="0.25">
      <c r="H20" s="40" t="s">
        <v>127</v>
      </c>
      <c r="I20" s="64" t="s">
        <v>114</v>
      </c>
      <c r="J20" s="144">
        <v>45769</v>
      </c>
      <c r="K20" s="41" t="s">
        <v>122</v>
      </c>
    </row>
    <row r="21" spans="1:17" ht="18.75" x14ac:dyDescent="0.3">
      <c r="H21" s="40" t="s">
        <v>127</v>
      </c>
      <c r="I21" s="64" t="s">
        <v>115</v>
      </c>
      <c r="J21" s="144">
        <v>45779</v>
      </c>
      <c r="K21" s="41" t="s">
        <v>122</v>
      </c>
      <c r="M21" s="54"/>
      <c r="N21" s="54"/>
      <c r="O21" s="54"/>
      <c r="P21" s="54"/>
    </row>
    <row r="22" spans="1:17" ht="15.75" thickBot="1" x14ac:dyDescent="0.3">
      <c r="H22" s="145" t="s">
        <v>127</v>
      </c>
      <c r="I22" s="146" t="s">
        <v>115</v>
      </c>
      <c r="J22" s="42">
        <v>45779</v>
      </c>
      <c r="K22" s="147" t="s">
        <v>122</v>
      </c>
    </row>
    <row r="26" spans="1:17" x14ac:dyDescent="0.25">
      <c r="Q26" s="37" t="s">
        <v>200</v>
      </c>
    </row>
    <row r="28" spans="1:17" ht="15.75" thickBot="1" x14ac:dyDescent="0.3"/>
    <row r="29" spans="1:17" ht="19.5" thickBot="1" x14ac:dyDescent="0.35">
      <c r="A29" s="151" t="s">
        <v>172</v>
      </c>
      <c r="B29" s="152"/>
      <c r="C29" s="153"/>
    </row>
    <row r="30" spans="1:17" x14ac:dyDescent="0.25">
      <c r="A30" s="64" t="s">
        <v>171</v>
      </c>
      <c r="B30" s="64" t="s">
        <v>199</v>
      </c>
      <c r="C30" s="64" t="s">
        <v>194</v>
      </c>
    </row>
    <row r="31" spans="1:17" x14ac:dyDescent="0.25">
      <c r="A31" s="64" t="s">
        <v>12</v>
      </c>
      <c r="B31" s="108">
        <f>Sante!I62</f>
        <v>19497.166666666668</v>
      </c>
      <c r="C31" s="108">
        <f>Sante!D62</f>
        <v>18885.833333333336</v>
      </c>
    </row>
    <row r="32" spans="1:17" x14ac:dyDescent="0.25">
      <c r="A32" s="64" t="s">
        <v>10</v>
      </c>
      <c r="B32" s="108">
        <f>Aleca!I56</f>
        <v>16748.333333333332</v>
      </c>
      <c r="C32" s="108">
        <f>Aleca!D56</f>
        <v>13060.833333333334</v>
      </c>
    </row>
    <row r="33" spans="1:7" x14ac:dyDescent="0.25">
      <c r="A33" s="64" t="s">
        <v>9</v>
      </c>
      <c r="B33" s="108">
        <f>Alante!I64</f>
        <v>18068.833333333332</v>
      </c>
      <c r="C33" s="108">
        <f>Alante!D64</f>
        <v>12031.333333333332</v>
      </c>
    </row>
    <row r="34" spans="1:7" x14ac:dyDescent="0.25">
      <c r="A34" s="64" t="s">
        <v>11</v>
      </c>
      <c r="B34" s="108">
        <f>Encore!I33</f>
        <v>1391.6666666666667</v>
      </c>
      <c r="C34" s="108">
        <f>Encore!D33</f>
        <v>1300</v>
      </c>
    </row>
    <row r="35" spans="1:7" x14ac:dyDescent="0.25">
      <c r="A35" s="64" t="s">
        <v>8</v>
      </c>
      <c r="B35" s="108">
        <f>Alumus!I33</f>
        <v>0</v>
      </c>
      <c r="C35" s="108">
        <f>Alumus!D33</f>
        <v>0</v>
      </c>
    </row>
    <row r="36" spans="1:7" x14ac:dyDescent="0.25">
      <c r="A36" s="64" t="s">
        <v>173</v>
      </c>
      <c r="B36" s="108">
        <f>SUM(B31:B35)</f>
        <v>55705.999999999993</v>
      </c>
      <c r="C36" s="108">
        <f>SUM(C31:C35)</f>
        <v>45278</v>
      </c>
    </row>
    <row r="47" spans="1:7" x14ac:dyDescent="0.25">
      <c r="G47" s="37" t="s">
        <v>140</v>
      </c>
    </row>
  </sheetData>
  <mergeCells count="3">
    <mergeCell ref="A29:C29"/>
    <mergeCell ref="H18:K18"/>
    <mergeCell ref="H4:L4"/>
  </mergeCells>
  <phoneticPr fontId="1" type="noConversion"/>
  <pageMargins left="0.7" right="0.7" top="0.75" bottom="0.75" header="0.3" footer="0.3"/>
  <drawing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384E1-59E7-4B7D-8288-60540CCA05F1}">
  <sheetPr codeName="Sheet15"/>
  <dimension ref="A1:I48"/>
  <sheetViews>
    <sheetView workbookViewId="0">
      <pane ySplit="1" topLeftCell="A2" activePane="bottomLeft" state="frozen"/>
      <selection pane="bottomLeft" activeCell="E6" sqref="E6"/>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76</v>
      </c>
      <c r="B2" s="157"/>
      <c r="C2" s="157"/>
      <c r="D2" s="157"/>
      <c r="E2" s="157"/>
      <c r="F2" s="157"/>
      <c r="G2" s="157"/>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c r="D5" s="3">
        <f t="shared" ref="D5:F5" si="0">C5+1</f>
        <v>1</v>
      </c>
      <c r="E5" s="3">
        <f t="shared" si="0"/>
        <v>2</v>
      </c>
      <c r="F5" s="3">
        <f t="shared" si="0"/>
        <v>3</v>
      </c>
      <c r="G5" s="3">
        <f>F5+1</f>
        <v>4</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5</v>
      </c>
      <c r="B10" s="3">
        <f t="shared" ref="B10:E10" si="1">A10+1</f>
        <v>6</v>
      </c>
      <c r="C10" s="3">
        <f t="shared" si="1"/>
        <v>7</v>
      </c>
      <c r="D10" s="3">
        <f t="shared" si="1"/>
        <v>8</v>
      </c>
      <c r="E10" s="3">
        <f t="shared" si="1"/>
        <v>9</v>
      </c>
      <c r="F10" s="3">
        <f>E10+1</f>
        <v>10</v>
      </c>
      <c r="G10" s="3">
        <f>F10+1</f>
        <v>11</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12</v>
      </c>
      <c r="B15" s="3">
        <f t="shared" ref="B15:E15" si="2">A15+1</f>
        <v>13</v>
      </c>
      <c r="C15" s="3">
        <f t="shared" si="2"/>
        <v>14</v>
      </c>
      <c r="D15" s="3">
        <f t="shared" si="2"/>
        <v>15</v>
      </c>
      <c r="E15" s="3">
        <f t="shared" si="2"/>
        <v>16</v>
      </c>
      <c r="F15" s="3">
        <f>E15+1</f>
        <v>17</v>
      </c>
      <c r="G15" s="3">
        <f>F15+1</f>
        <v>18</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19</v>
      </c>
      <c r="B20" s="3">
        <f t="shared" ref="B20:E20" si="3">A20+1</f>
        <v>20</v>
      </c>
      <c r="C20" s="3">
        <f t="shared" si="3"/>
        <v>21</v>
      </c>
      <c r="D20" s="3">
        <f t="shared" si="3"/>
        <v>22</v>
      </c>
      <c r="E20" s="3">
        <f t="shared" si="3"/>
        <v>23</v>
      </c>
      <c r="F20" s="3">
        <f>E20+1</f>
        <v>24</v>
      </c>
      <c r="G20" s="3">
        <f>F20+1</f>
        <v>25</v>
      </c>
    </row>
    <row r="21" spans="1:7" x14ac:dyDescent="0.3">
      <c r="A21" s="5"/>
      <c r="B21" s="7"/>
      <c r="C21" s="5"/>
      <c r="D21" s="7"/>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26</v>
      </c>
      <c r="B25" s="3">
        <f t="shared" ref="B25:E25" si="4">A25+1</f>
        <v>27</v>
      </c>
      <c r="C25" s="3">
        <f t="shared" si="4"/>
        <v>28</v>
      </c>
      <c r="D25" s="3">
        <f t="shared" si="4"/>
        <v>29</v>
      </c>
      <c r="E25" s="3">
        <f t="shared" si="4"/>
        <v>30</v>
      </c>
      <c r="F25" s="3">
        <f>E25+1</f>
        <v>31</v>
      </c>
    </row>
    <row r="26" spans="1:7" ht="37.5" x14ac:dyDescent="0.3">
      <c r="A26" s="5"/>
      <c r="B26" s="5"/>
      <c r="C26" s="5"/>
      <c r="D26" s="5"/>
      <c r="E26" s="7"/>
      <c r="F26" s="28" t="s">
        <v>77</v>
      </c>
    </row>
    <row r="27" spans="1:7" x14ac:dyDescent="0.3">
      <c r="A27" s="5"/>
      <c r="B27" s="5"/>
      <c r="C27" s="5"/>
      <c r="D27" s="5"/>
      <c r="E27" s="7"/>
      <c r="F27" s="5"/>
    </row>
    <row r="28" spans="1:7" x14ac:dyDescent="0.3">
      <c r="A28" s="5"/>
      <c r="B28" s="5"/>
      <c r="C28" s="5"/>
      <c r="D28" s="5"/>
      <c r="E28" s="5"/>
      <c r="F28" s="5"/>
    </row>
    <row r="29" spans="1:7" ht="19.5" thickBot="1" x14ac:dyDescent="0.35">
      <c r="A29" s="6"/>
      <c r="B29" s="6"/>
      <c r="C29" s="6"/>
      <c r="D29" s="6"/>
      <c r="E29" s="6"/>
      <c r="F29" s="6"/>
    </row>
    <row r="31" spans="1:7" ht="19.5" thickBot="1" x14ac:dyDescent="0.35"/>
    <row r="32" spans="1:7" ht="19.5" thickBot="1" x14ac:dyDescent="0.35">
      <c r="A32" s="8" t="s">
        <v>8</v>
      </c>
    </row>
    <row r="33" spans="1:1" ht="19.5" thickBot="1" x14ac:dyDescent="0.35">
      <c r="A33" s="8" t="s">
        <v>9</v>
      </c>
    </row>
    <row r="34" spans="1:1" ht="19.5" thickBot="1" x14ac:dyDescent="0.35">
      <c r="A34" s="8" t="s">
        <v>10</v>
      </c>
    </row>
    <row r="35" spans="1:1" x14ac:dyDescent="0.3">
      <c r="A35" s="9" t="s">
        <v>12</v>
      </c>
    </row>
    <row r="36" spans="1:1" ht="37.5" x14ac:dyDescent="0.3">
      <c r="A36" s="7" t="s">
        <v>35</v>
      </c>
    </row>
    <row r="37" spans="1:1" x14ac:dyDescent="0.3">
      <c r="A37" s="5" t="s">
        <v>13</v>
      </c>
    </row>
    <row r="38" spans="1:1" x14ac:dyDescent="0.3">
      <c r="A38" s="5" t="s">
        <v>14</v>
      </c>
    </row>
    <row r="39" spans="1:1" ht="19.5" thickBot="1" x14ac:dyDescent="0.35">
      <c r="A39" s="6" t="s">
        <v>15</v>
      </c>
    </row>
    <row r="40" spans="1:1" x14ac:dyDescent="0.3">
      <c r="A40" s="9" t="s">
        <v>11</v>
      </c>
    </row>
    <row r="41" spans="1:1" x14ac:dyDescent="0.3">
      <c r="A41" s="5" t="s">
        <v>36</v>
      </c>
    </row>
    <row r="42" spans="1:1" x14ac:dyDescent="0.3">
      <c r="A42" s="5" t="s">
        <v>37</v>
      </c>
    </row>
    <row r="43" spans="1:1" ht="37.5" x14ac:dyDescent="0.3">
      <c r="A43" s="7" t="s">
        <v>38</v>
      </c>
    </row>
    <row r="44" spans="1:1" x14ac:dyDescent="0.3">
      <c r="A44" s="5" t="s">
        <v>41</v>
      </c>
    </row>
    <row r="45" spans="1:1" x14ac:dyDescent="0.3">
      <c r="A45" s="5" t="s">
        <v>39</v>
      </c>
    </row>
    <row r="46" spans="1:1" ht="19.5" thickBot="1" x14ac:dyDescent="0.35">
      <c r="A46" s="6" t="s">
        <v>40</v>
      </c>
    </row>
    <row r="47" spans="1:1" ht="19.5" thickBot="1" x14ac:dyDescent="0.35">
      <c r="A47" s="22" t="s">
        <v>54</v>
      </c>
    </row>
    <row r="48" spans="1:1" x14ac:dyDescent="0.3">
      <c r="A48" s="23" t="s">
        <v>55</v>
      </c>
    </row>
  </sheetData>
  <mergeCells count="1">
    <mergeCell ref="A2:G2"/>
  </mergeCells>
  <conditionalFormatting sqref="A2:XFD31 A49:XFD1048576 B32:XFD48">
    <cfRule type="containsText" dxfId="615" priority="30" operator="containsText" text="RC: ">
      <formula>NOT(ISERROR(SEARCH("RC: ",A2)))</formula>
    </cfRule>
    <cfRule type="containsText" dxfId="614" priority="31" operator="containsText" text="LC: ">
      <formula>NOT(ISERROR(SEARCH("LC: ",A2)))</formula>
    </cfRule>
    <cfRule type="containsText" dxfId="613" priority="32" operator="containsText" text="Ridge: ">
      <formula>NOT(ISERROR(SEARCH("Ridge: ",A2)))</formula>
    </cfRule>
    <cfRule type="containsText" dxfId="612" priority="33" operator="containsText" text="NWL: ">
      <formula>NOT(ISERROR(SEARCH("NWL: ",A2)))</formula>
    </cfRule>
    <cfRule type="containsText" dxfId="611" priority="34" operator="containsText" text="CM: ">
      <formula>NOT(ISERROR(SEARCH("CM: ",A2)))</formula>
    </cfRule>
    <cfRule type="containsText" dxfId="610" priority="35" operator="containsText" text="C!: ">
      <formula>NOT(ISERROR(SEARCH("C!: ",A2)))</formula>
    </cfRule>
    <cfRule type="containsText" dxfId="609" priority="36" operator="containsText" text="CI: ">
      <formula>NOT(ISERROR(SEARCH("CI: ",A2)))</formula>
    </cfRule>
    <cfRule type="containsText" dxfId="608" priority="37" operator="containsText" text="Surprise">
      <formula>NOT(ISERROR(SEARCH("Surprise",A2)))</formula>
    </cfRule>
    <cfRule type="containsText" dxfId="607" priority="38" operator="containsText" text="M&amp;R">
      <formula>NOT(ISERROR(SEARCH("M&amp;R",A2)))</formula>
    </cfRule>
    <cfRule type="containsText" dxfId="606" priority="39" operator="containsText" text="North S.">
      <formula>NOT(ISERROR(SEARCH("North S.",A2)))</formula>
    </cfRule>
    <cfRule type="containsText" dxfId="605" priority="40" operator="containsText" text="NS">
      <formula>NOT(ISERROR(SEARCH("NS",A2)))</formula>
    </cfRule>
    <cfRule type="containsText" dxfId="604" priority="41" operator="containsText" text="Alante">
      <formula>NOT(ISERROR(SEARCH("Alante",A2)))</formula>
    </cfRule>
    <cfRule type="containsText" dxfId="603" priority="42" operator="containsText" text="Alante">
      <formula>NOT(ISERROR(SEARCH("Alante",A2)))</formula>
    </cfRule>
    <cfRule type="containsText" dxfId="602" priority="43" operator="containsText" text="Alumus">
      <formula>NOT(ISERROR(SEARCH("Alumus",A2)))</formula>
    </cfRule>
    <cfRule type="containsText" dxfId="601" priority="44" operator="containsText" text="Aleca">
      <formula>NOT(ISERROR(SEARCH("Aleca",A2)))</formula>
    </cfRule>
    <cfRule type="containsText" dxfId="600" priority="45" operator="containsText" text="M&amp;R">
      <formula>NOT(ISERROR(SEARCH("M&amp;R",A2)))</formula>
    </cfRule>
    <cfRule type="containsText" dxfId="599" priority="46" operator="containsText" text="Chandler">
      <formula>NOT(ISERROR(SEARCH("Chandler",A2)))</formula>
    </cfRule>
    <cfRule type="containsText" dxfId="598" priority="47" operator="containsText" text="Mesa">
      <formula>NOT(ISERROR(SEARCH("Mesa",A2)))</formula>
    </cfRule>
  </conditionalFormatting>
  <conditionalFormatting sqref="E24">
    <cfRule type="containsText" dxfId="597" priority="28" operator="containsText" text="MKT: ">
      <formula>NOT(ISERROR(SEARCH("MKT: ",E24)))</formula>
    </cfRule>
  </conditionalFormatting>
  <conditionalFormatting sqref="E33">
    <cfRule type="containsText" dxfId="596" priority="27" operator="containsText" text="REC: ">
      <formula>NOT(ISERROR(SEARCH("REC: ",E33)))</formula>
    </cfRule>
  </conditionalFormatting>
  <conditionalFormatting sqref="A32:A48">
    <cfRule type="containsText" dxfId="595" priority="16" operator="containsText" text="M&amp;R">
      <formula>NOT(ISERROR(SEARCH("M&amp;R",A32)))</formula>
    </cfRule>
    <cfRule type="containsText" dxfId="594" priority="17" operator="containsText" text="North S.">
      <formula>NOT(ISERROR(SEARCH("North S.",A32)))</formula>
    </cfRule>
    <cfRule type="containsText" dxfId="593" priority="18" operator="containsText" text="NS">
      <formula>NOT(ISERROR(SEARCH("NS",A32)))</formula>
    </cfRule>
    <cfRule type="containsText" dxfId="592" priority="19" operator="containsText" text="Alante">
      <formula>NOT(ISERROR(SEARCH("Alante",A32)))</formula>
    </cfRule>
    <cfRule type="containsText" dxfId="591" priority="20" operator="containsText" text="Alante">
      <formula>NOT(ISERROR(SEARCH("Alante",A32)))</formula>
    </cfRule>
    <cfRule type="containsText" dxfId="590" priority="21" operator="containsText" text="Alumus">
      <formula>NOT(ISERROR(SEARCH("Alumus",A32)))</formula>
    </cfRule>
    <cfRule type="containsText" dxfId="589" priority="22" operator="containsText" text="Aleca">
      <formula>NOT(ISERROR(SEARCH("Aleca",A32)))</formula>
    </cfRule>
    <cfRule type="containsText" dxfId="588" priority="24" operator="containsText" text="Chandler">
      <formula>NOT(ISERROR(SEARCH("Chandler",A32)))</formula>
    </cfRule>
    <cfRule type="containsText" dxfId="587" priority="25" operator="containsText" text="Mesa">
      <formula>NOT(ISERROR(SEARCH("Mesa",A32)))</formula>
    </cfRule>
  </conditionalFormatting>
  <conditionalFormatting sqref="A47">
    <cfRule type="containsText" dxfId="586" priority="3" operator="containsText" text="MKT: ">
      <formula>NOT(ISERROR(SEARCH("MKT: ",A47)))</formula>
    </cfRule>
    <cfRule type="containsText" dxfId="585" priority="5" operator="containsText" text="MKT: ">
      <formula>NOT(ISERROR(SEARCH("MKT: ",A47)))</formula>
    </cfRule>
    <cfRule type="containsText" dxfId="584" priority="7" operator="containsText" text="MKT:">
      <formula>NOT(ISERROR(SEARCH("MKT:",A47)))</formula>
    </cfRule>
  </conditionalFormatting>
  <conditionalFormatting sqref="A47:A48">
    <cfRule type="containsText" dxfId="583" priority="4" operator="containsText" text="REC: ">
      <formula>NOT(ISERROR(SEARCH("REC: ",A47)))</formula>
    </cfRule>
  </conditionalFormatting>
  <conditionalFormatting sqref="A48">
    <cfRule type="containsText" dxfId="582" priority="6" operator="containsText" text="REC:">
      <formula>NOT(ISERROR(SEARCH("REC:",A48)))</formula>
    </cfRule>
  </conditionalFormatting>
  <conditionalFormatting sqref="A32:A48">
    <cfRule type="containsText" dxfId="581" priority="8" operator="containsText" text="RC: ">
      <formula>NOT(ISERROR(SEARCH("RC: ",A32)))</formula>
    </cfRule>
    <cfRule type="containsText" dxfId="580" priority="9" operator="containsText" text="LC: ">
      <formula>NOT(ISERROR(SEARCH("LC: ",A32)))</formula>
    </cfRule>
    <cfRule type="containsText" dxfId="579" priority="10" operator="containsText" text="Ridge: ">
      <formula>NOT(ISERROR(SEARCH("Ridge: ",A32)))</formula>
    </cfRule>
    <cfRule type="containsText" dxfId="578" priority="11" operator="containsText" text="NWL: ">
      <formula>NOT(ISERROR(SEARCH("NWL: ",A32)))</formula>
    </cfRule>
    <cfRule type="containsText" dxfId="577" priority="12" operator="containsText" text="CM: ">
      <formula>NOT(ISERROR(SEARCH("CM: ",A32)))</formula>
    </cfRule>
    <cfRule type="containsText" dxfId="576" priority="13" operator="containsText" text="C!: ">
      <formula>NOT(ISERROR(SEARCH("C!: ",A32)))</formula>
    </cfRule>
    <cfRule type="containsText" dxfId="575" priority="14" operator="containsText" text="CI: ">
      <formula>NOT(ISERROR(SEARCH("CI: ",A32)))</formula>
    </cfRule>
    <cfRule type="containsText" dxfId="574" priority="15" operator="containsText" text="Surprise">
      <formula>NOT(ISERROR(SEARCH("Surprise",A32)))</formula>
    </cfRule>
    <cfRule type="containsText" dxfId="573" priority="23" operator="containsText" text="M&amp;R">
      <formula>NOT(ISERROR(SEARCH("M&amp;R",A32)))</formula>
    </cfRule>
  </conditionalFormatting>
  <conditionalFormatting sqref="A1:XFD1048576">
    <cfRule type="containsText" dxfId="572" priority="1" operator="containsText" text="REC: ">
      <formula>NOT(ISERROR(SEARCH("REC: ",A1)))</formula>
    </cfRule>
    <cfRule type="containsText" dxfId="571" priority="2" operator="containsText" text="MKT: ">
      <formula>NOT(ISERROR(SEARCH("MKT: ",A1)))</formula>
    </cfRule>
  </conditionalFormatting>
  <hyperlinks>
    <hyperlink ref="F26" location="'MKT Events'!A2" display="MKT: State of the State- The Hertel Report" xr:uid="{38F419A4-6316-4809-A904-1ABCEE5D122D}"/>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DA3FE-310C-47DB-A296-5D63FB7D7C26}">
  <sheetPr codeName="Sheet1"/>
  <dimension ref="A1:I48"/>
  <sheetViews>
    <sheetView workbookViewId="0">
      <selection activeCell="D11" sqref="D1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53</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c r="D5" s="3"/>
      <c r="E5" s="3"/>
      <c r="F5" s="3"/>
      <c r="G5" s="3">
        <f>F5+1</f>
        <v>1</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2</v>
      </c>
      <c r="B10" s="3">
        <f t="shared" ref="B10:E10" si="0">A10+1</f>
        <v>3</v>
      </c>
      <c r="C10" s="3">
        <f t="shared" si="0"/>
        <v>4</v>
      </c>
      <c r="D10" s="3">
        <f t="shared" si="0"/>
        <v>5</v>
      </c>
      <c r="E10" s="3">
        <f t="shared" si="0"/>
        <v>6</v>
      </c>
      <c r="F10" s="3">
        <f>E10+1</f>
        <v>7</v>
      </c>
      <c r="G10" s="3">
        <f>F10+1</f>
        <v>8</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9</v>
      </c>
      <c r="B15" s="3">
        <f t="shared" ref="B15:E15" si="1">A15+1</f>
        <v>10</v>
      </c>
      <c r="C15" s="3">
        <f t="shared" si="1"/>
        <v>11</v>
      </c>
      <c r="D15" s="3">
        <f t="shared" si="1"/>
        <v>12</v>
      </c>
      <c r="E15" s="3">
        <f t="shared" si="1"/>
        <v>13</v>
      </c>
      <c r="F15" s="3">
        <f>E15+1</f>
        <v>14</v>
      </c>
      <c r="G15" s="3">
        <f>F15+1</f>
        <v>15</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16</v>
      </c>
      <c r="B20" s="3">
        <f t="shared" ref="B20:E20" si="2">A20+1</f>
        <v>17</v>
      </c>
      <c r="C20" s="3">
        <f t="shared" si="2"/>
        <v>18</v>
      </c>
      <c r="D20" s="3">
        <f t="shared" si="2"/>
        <v>19</v>
      </c>
      <c r="E20" s="3">
        <f t="shared" si="2"/>
        <v>20</v>
      </c>
      <c r="F20" s="3">
        <f>E20+1</f>
        <v>21</v>
      </c>
      <c r="G20" s="3">
        <f>F20+1</f>
        <v>22</v>
      </c>
    </row>
    <row r="21" spans="1:7" ht="37.5" x14ac:dyDescent="0.3">
      <c r="A21" s="5"/>
      <c r="B21" s="7"/>
      <c r="C21" s="5"/>
      <c r="D21" s="7"/>
      <c r="E21" s="29" t="s">
        <v>61</v>
      </c>
      <c r="F21" s="5"/>
      <c r="G21" s="5"/>
    </row>
    <row r="22" spans="1:7" x14ac:dyDescent="0.3">
      <c r="A22" s="5"/>
      <c r="B22" s="7"/>
      <c r="C22" s="5"/>
      <c r="D22" s="5"/>
      <c r="E22" s="21"/>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23</v>
      </c>
      <c r="B25" s="3">
        <f t="shared" ref="B25:E25" si="3">A25+1</f>
        <v>24</v>
      </c>
      <c r="C25" s="3">
        <f t="shared" si="3"/>
        <v>25</v>
      </c>
      <c r="D25" s="3">
        <f t="shared" si="3"/>
        <v>26</v>
      </c>
      <c r="E25" s="3">
        <f t="shared" si="3"/>
        <v>27</v>
      </c>
      <c r="F25" s="3">
        <f>E25+1</f>
        <v>28</v>
      </c>
    </row>
    <row r="26" spans="1:7" x14ac:dyDescent="0.3">
      <c r="A26" s="5"/>
      <c r="B26" s="5"/>
      <c r="C26" s="5"/>
      <c r="D26" s="5"/>
      <c r="E26" s="7"/>
      <c r="F26" s="5"/>
    </row>
    <row r="27" spans="1:7" x14ac:dyDescent="0.3">
      <c r="A27" s="5"/>
      <c r="B27" s="5"/>
      <c r="C27" s="5"/>
      <c r="D27" s="5"/>
      <c r="E27" s="7"/>
      <c r="F27" s="5"/>
    </row>
    <row r="28" spans="1:7" x14ac:dyDescent="0.3">
      <c r="A28" s="5"/>
      <c r="B28" s="5"/>
      <c r="C28" s="5"/>
      <c r="D28" s="5"/>
      <c r="E28" s="5"/>
      <c r="F28" s="5"/>
    </row>
    <row r="29" spans="1:7" ht="19.5" thickBot="1" x14ac:dyDescent="0.35">
      <c r="A29" s="6"/>
      <c r="B29" s="6"/>
      <c r="C29" s="6"/>
      <c r="D29" s="6"/>
      <c r="E29" s="6"/>
      <c r="F29" s="6"/>
    </row>
    <row r="31" spans="1:7" ht="19.5" thickBot="1" x14ac:dyDescent="0.35"/>
    <row r="32" spans="1:7" ht="19.5" thickBot="1" x14ac:dyDescent="0.35">
      <c r="A32" s="8" t="s">
        <v>8</v>
      </c>
    </row>
    <row r="33" spans="1:1" ht="19.5" thickBot="1" x14ac:dyDescent="0.35">
      <c r="A33" s="8" t="s">
        <v>9</v>
      </c>
    </row>
    <row r="34" spans="1:1" ht="19.5" thickBot="1" x14ac:dyDescent="0.35">
      <c r="A34" s="8" t="s">
        <v>10</v>
      </c>
    </row>
    <row r="35" spans="1:1" x14ac:dyDescent="0.3">
      <c r="A35" s="9" t="s">
        <v>12</v>
      </c>
    </row>
    <row r="36" spans="1:1" ht="37.5" x14ac:dyDescent="0.3">
      <c r="A36" s="7" t="s">
        <v>35</v>
      </c>
    </row>
    <row r="37" spans="1:1" x14ac:dyDescent="0.3">
      <c r="A37" s="5" t="s">
        <v>13</v>
      </c>
    </row>
    <row r="38" spans="1:1" x14ac:dyDescent="0.3">
      <c r="A38" s="5" t="s">
        <v>14</v>
      </c>
    </row>
    <row r="39" spans="1:1" ht="19.5" thickBot="1" x14ac:dyDescent="0.35">
      <c r="A39" s="6" t="s">
        <v>15</v>
      </c>
    </row>
    <row r="40" spans="1:1" x14ac:dyDescent="0.3">
      <c r="A40" s="9" t="s">
        <v>11</v>
      </c>
    </row>
    <row r="41" spans="1:1" x14ac:dyDescent="0.3">
      <c r="A41" s="5" t="s">
        <v>36</v>
      </c>
    </row>
    <row r="42" spans="1:1" x14ac:dyDescent="0.3">
      <c r="A42" s="5" t="s">
        <v>37</v>
      </c>
    </row>
    <row r="43" spans="1:1" ht="37.5" x14ac:dyDescent="0.3">
      <c r="A43" s="7" t="s">
        <v>38</v>
      </c>
    </row>
    <row r="44" spans="1:1" x14ac:dyDescent="0.3">
      <c r="A44" s="5" t="s">
        <v>41</v>
      </c>
    </row>
    <row r="45" spans="1:1" x14ac:dyDescent="0.3">
      <c r="A45" s="5" t="s">
        <v>39</v>
      </c>
    </row>
    <row r="46" spans="1:1" ht="19.5" thickBot="1" x14ac:dyDescent="0.35">
      <c r="A46" s="6" t="s">
        <v>40</v>
      </c>
    </row>
    <row r="47" spans="1:1" ht="19.5" thickBot="1" x14ac:dyDescent="0.35">
      <c r="A47" s="22" t="s">
        <v>54</v>
      </c>
    </row>
    <row r="48" spans="1:1" x14ac:dyDescent="0.3">
      <c r="A48" s="23" t="s">
        <v>55</v>
      </c>
    </row>
  </sheetData>
  <mergeCells count="1">
    <mergeCell ref="A2:G2"/>
  </mergeCells>
  <conditionalFormatting sqref="A2:XFD31 A49:XFD1048576 B32:XFD48">
    <cfRule type="containsText" dxfId="570" priority="30" operator="containsText" text="RC: ">
      <formula>NOT(ISERROR(SEARCH("RC: ",A2)))</formula>
    </cfRule>
    <cfRule type="containsText" dxfId="569" priority="31" operator="containsText" text="LC: ">
      <formula>NOT(ISERROR(SEARCH("LC: ",A2)))</formula>
    </cfRule>
    <cfRule type="containsText" dxfId="568" priority="32" operator="containsText" text="Ridge: ">
      <formula>NOT(ISERROR(SEARCH("Ridge: ",A2)))</formula>
    </cfRule>
    <cfRule type="containsText" dxfId="567" priority="33" operator="containsText" text="NWL: ">
      <formula>NOT(ISERROR(SEARCH("NWL: ",A2)))</formula>
    </cfRule>
    <cfRule type="containsText" dxfId="566" priority="34" operator="containsText" text="CM: ">
      <formula>NOT(ISERROR(SEARCH("CM: ",A2)))</formula>
    </cfRule>
    <cfRule type="containsText" dxfId="565" priority="35" operator="containsText" text="C!: ">
      <formula>NOT(ISERROR(SEARCH("C!: ",A2)))</formula>
    </cfRule>
    <cfRule type="containsText" dxfId="564" priority="36" operator="containsText" text="CI: ">
      <formula>NOT(ISERROR(SEARCH("CI: ",A2)))</formula>
    </cfRule>
    <cfRule type="containsText" dxfId="563" priority="37" operator="containsText" text="Surprise">
      <formula>NOT(ISERROR(SEARCH("Surprise",A2)))</formula>
    </cfRule>
    <cfRule type="containsText" dxfId="562" priority="38" operator="containsText" text="M&amp;R">
      <formula>NOT(ISERROR(SEARCH("M&amp;R",A2)))</formula>
    </cfRule>
    <cfRule type="containsText" dxfId="561" priority="39" operator="containsText" text="North S.">
      <formula>NOT(ISERROR(SEARCH("North S.",A2)))</formula>
    </cfRule>
    <cfRule type="containsText" dxfId="560" priority="40" operator="containsText" text="NS">
      <formula>NOT(ISERROR(SEARCH("NS",A2)))</formula>
    </cfRule>
    <cfRule type="containsText" dxfId="559" priority="41" operator="containsText" text="Alante">
      <formula>NOT(ISERROR(SEARCH("Alante",A2)))</formula>
    </cfRule>
    <cfRule type="containsText" dxfId="558" priority="42" operator="containsText" text="Alante">
      <formula>NOT(ISERROR(SEARCH("Alante",A2)))</formula>
    </cfRule>
    <cfRule type="containsText" dxfId="557" priority="43" operator="containsText" text="Alumus">
      <formula>NOT(ISERROR(SEARCH("Alumus",A2)))</formula>
    </cfRule>
    <cfRule type="containsText" dxfId="556" priority="44" operator="containsText" text="Aleca">
      <formula>NOT(ISERROR(SEARCH("Aleca",A2)))</formula>
    </cfRule>
    <cfRule type="containsText" dxfId="555" priority="45" operator="containsText" text="M&amp;R">
      <formula>NOT(ISERROR(SEARCH("M&amp;R",A2)))</formula>
    </cfRule>
    <cfRule type="containsText" dxfId="554" priority="46" operator="containsText" text="Chandler">
      <formula>NOT(ISERROR(SEARCH("Chandler",A2)))</formula>
    </cfRule>
    <cfRule type="containsText" dxfId="553" priority="47" operator="containsText" text="Mesa">
      <formula>NOT(ISERROR(SEARCH("Mesa",A2)))</formula>
    </cfRule>
  </conditionalFormatting>
  <conditionalFormatting sqref="E24">
    <cfRule type="containsText" dxfId="552" priority="28" operator="containsText" text="MKT: ">
      <formula>NOT(ISERROR(SEARCH("MKT: ",E24)))</formula>
    </cfRule>
  </conditionalFormatting>
  <conditionalFormatting sqref="E33">
    <cfRule type="containsText" dxfId="551" priority="27" operator="containsText" text="REC: ">
      <formula>NOT(ISERROR(SEARCH("REC: ",E33)))</formula>
    </cfRule>
  </conditionalFormatting>
  <conditionalFormatting sqref="A32:A48">
    <cfRule type="containsText" dxfId="550" priority="16" operator="containsText" text="M&amp;R">
      <formula>NOT(ISERROR(SEARCH("M&amp;R",A32)))</formula>
    </cfRule>
    <cfRule type="containsText" dxfId="549" priority="17" operator="containsText" text="North S.">
      <formula>NOT(ISERROR(SEARCH("North S.",A32)))</formula>
    </cfRule>
    <cfRule type="containsText" dxfId="548" priority="18" operator="containsText" text="NS">
      <formula>NOT(ISERROR(SEARCH("NS",A32)))</formula>
    </cfRule>
    <cfRule type="containsText" dxfId="547" priority="19" operator="containsText" text="Alante">
      <formula>NOT(ISERROR(SEARCH("Alante",A32)))</formula>
    </cfRule>
    <cfRule type="containsText" dxfId="546" priority="20" operator="containsText" text="Alante">
      <formula>NOT(ISERROR(SEARCH("Alante",A32)))</formula>
    </cfRule>
    <cfRule type="containsText" dxfId="545" priority="21" operator="containsText" text="Alumus">
      <formula>NOT(ISERROR(SEARCH("Alumus",A32)))</formula>
    </cfRule>
    <cfRule type="containsText" dxfId="544" priority="22" operator="containsText" text="Aleca">
      <formula>NOT(ISERROR(SEARCH("Aleca",A32)))</formula>
    </cfRule>
    <cfRule type="containsText" dxfId="543" priority="24" operator="containsText" text="Chandler">
      <formula>NOT(ISERROR(SEARCH("Chandler",A32)))</formula>
    </cfRule>
    <cfRule type="containsText" dxfId="542" priority="25" operator="containsText" text="Mesa">
      <formula>NOT(ISERROR(SEARCH("Mesa",A32)))</formula>
    </cfRule>
  </conditionalFormatting>
  <conditionalFormatting sqref="A47">
    <cfRule type="containsText" dxfId="541" priority="3" operator="containsText" text="MKT: ">
      <formula>NOT(ISERROR(SEARCH("MKT: ",A47)))</formula>
    </cfRule>
    <cfRule type="containsText" dxfId="540" priority="5" operator="containsText" text="MKT: ">
      <formula>NOT(ISERROR(SEARCH("MKT: ",A47)))</formula>
    </cfRule>
    <cfRule type="containsText" dxfId="539" priority="7" operator="containsText" text="MKT:">
      <formula>NOT(ISERROR(SEARCH("MKT:",A47)))</formula>
    </cfRule>
  </conditionalFormatting>
  <conditionalFormatting sqref="A47:A48">
    <cfRule type="containsText" dxfId="538" priority="4" operator="containsText" text="REC: ">
      <formula>NOT(ISERROR(SEARCH("REC: ",A47)))</formula>
    </cfRule>
  </conditionalFormatting>
  <conditionalFormatting sqref="A48">
    <cfRule type="containsText" dxfId="537" priority="6" operator="containsText" text="REC:">
      <formula>NOT(ISERROR(SEARCH("REC:",A48)))</formula>
    </cfRule>
  </conditionalFormatting>
  <conditionalFormatting sqref="A32:A48">
    <cfRule type="containsText" dxfId="536" priority="8" operator="containsText" text="RC: ">
      <formula>NOT(ISERROR(SEARCH("RC: ",A32)))</formula>
    </cfRule>
    <cfRule type="containsText" dxfId="535" priority="9" operator="containsText" text="LC: ">
      <formula>NOT(ISERROR(SEARCH("LC: ",A32)))</formula>
    </cfRule>
    <cfRule type="containsText" dxfId="534" priority="10" operator="containsText" text="Ridge: ">
      <formula>NOT(ISERROR(SEARCH("Ridge: ",A32)))</formula>
    </cfRule>
    <cfRule type="containsText" dxfId="533" priority="11" operator="containsText" text="NWL: ">
      <formula>NOT(ISERROR(SEARCH("NWL: ",A32)))</formula>
    </cfRule>
    <cfRule type="containsText" dxfId="532" priority="12" operator="containsText" text="CM: ">
      <formula>NOT(ISERROR(SEARCH("CM: ",A32)))</formula>
    </cfRule>
    <cfRule type="containsText" dxfId="531" priority="13" operator="containsText" text="C!: ">
      <formula>NOT(ISERROR(SEARCH("C!: ",A32)))</formula>
    </cfRule>
    <cfRule type="containsText" dxfId="530" priority="14" operator="containsText" text="CI: ">
      <formula>NOT(ISERROR(SEARCH("CI: ",A32)))</formula>
    </cfRule>
    <cfRule type="containsText" dxfId="529" priority="15" operator="containsText" text="Surprise">
      <formula>NOT(ISERROR(SEARCH("Surprise",A32)))</formula>
    </cfRule>
    <cfRule type="containsText" dxfId="528" priority="23" operator="containsText" text="M&amp;R">
      <formula>NOT(ISERROR(SEARCH("M&amp;R",A32)))</formula>
    </cfRule>
  </conditionalFormatting>
  <conditionalFormatting sqref="A1:XFD1">
    <cfRule type="containsText" dxfId="527" priority="1" operator="containsText" text="REC: ">
      <formula>NOT(ISERROR(SEARCH("REC: ",A1)))</formula>
    </cfRule>
    <cfRule type="containsText" dxfId="526" priority="2" operator="containsText" text="MKT: ">
      <formula>NOT(ISERROR(SEARCH("MKT: ",A1)))</formula>
    </cfRule>
  </conditionalFormatting>
  <hyperlinks>
    <hyperlink ref="E21" location="'Recruiting Events'!A2" display="REC: AZ College of Nursing Job Fair " xr:uid="{5DF94724-0559-43CC-90E4-E07D714AFF5F}"/>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B19A-AC5E-4BFA-A15E-A52DF852FD63}">
  <sheetPr codeName="Sheet2"/>
  <dimension ref="A1:I55"/>
  <sheetViews>
    <sheetView topLeftCell="A7" workbookViewId="0">
      <selection activeCell="B11" sqref="B1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7</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c r="D5" s="3"/>
      <c r="E5" s="3"/>
      <c r="F5" s="3"/>
      <c r="G5" s="3">
        <f>F5+1</f>
        <v>1</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2</v>
      </c>
      <c r="B10" s="3">
        <f t="shared" ref="B10:E10" si="0">A10+1</f>
        <v>3</v>
      </c>
      <c r="C10" s="3">
        <f t="shared" si="0"/>
        <v>4</v>
      </c>
      <c r="D10" s="3">
        <f t="shared" si="0"/>
        <v>5</v>
      </c>
      <c r="E10" s="3">
        <f t="shared" si="0"/>
        <v>6</v>
      </c>
      <c r="F10" s="3">
        <f>E10+1</f>
        <v>7</v>
      </c>
      <c r="G10" s="3">
        <f>F10+1</f>
        <v>8</v>
      </c>
    </row>
    <row r="11" spans="1:9" ht="56.25" x14ac:dyDescent="0.3">
      <c r="A11" s="5"/>
      <c r="B11" s="28" t="s">
        <v>56</v>
      </c>
      <c r="C11" s="5"/>
      <c r="D11" s="5"/>
      <c r="E11" s="5"/>
      <c r="F11" s="7" t="s">
        <v>17</v>
      </c>
      <c r="G11" s="29" t="s">
        <v>58</v>
      </c>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9</v>
      </c>
      <c r="B15" s="3">
        <f t="shared" ref="B15:E15" si="1">A15+1</f>
        <v>10</v>
      </c>
      <c r="C15" s="3">
        <f t="shared" si="1"/>
        <v>11</v>
      </c>
      <c r="D15" s="3">
        <f t="shared" si="1"/>
        <v>12</v>
      </c>
      <c r="E15" s="3">
        <f t="shared" si="1"/>
        <v>13</v>
      </c>
      <c r="F15" s="3">
        <f>E15+1</f>
        <v>14</v>
      </c>
      <c r="G15" s="3">
        <f>F15+1</f>
        <v>15</v>
      </c>
    </row>
    <row r="16" spans="1:9" ht="56.25" x14ac:dyDescent="0.3">
      <c r="A16" s="5"/>
      <c r="B16" s="7" t="s">
        <v>21</v>
      </c>
      <c r="D16" s="7" t="s">
        <v>16</v>
      </c>
      <c r="E16" s="7" t="s">
        <v>22</v>
      </c>
      <c r="F16" s="7" t="s">
        <v>24</v>
      </c>
      <c r="G16" s="5"/>
    </row>
    <row r="17" spans="1:7" ht="37.5" x14ac:dyDescent="0.3">
      <c r="A17" s="5"/>
      <c r="B17" s="5"/>
      <c r="C17" s="5"/>
      <c r="D17" s="5"/>
      <c r="E17" s="7" t="s">
        <v>23</v>
      </c>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16</v>
      </c>
      <c r="B20" s="3">
        <f t="shared" ref="B20:E20" si="2">A20+1</f>
        <v>17</v>
      </c>
      <c r="C20" s="3">
        <f t="shared" si="2"/>
        <v>18</v>
      </c>
      <c r="D20" s="3">
        <f t="shared" si="2"/>
        <v>19</v>
      </c>
      <c r="E20" s="3">
        <f t="shared" si="2"/>
        <v>20</v>
      </c>
      <c r="F20" s="3">
        <f>E20+1</f>
        <v>21</v>
      </c>
      <c r="G20" s="3">
        <f>F20+1</f>
        <v>22</v>
      </c>
    </row>
    <row r="21" spans="1:7" ht="37.5" x14ac:dyDescent="0.3">
      <c r="A21" s="5"/>
      <c r="B21" s="7" t="s">
        <v>18</v>
      </c>
      <c r="C21" s="5"/>
      <c r="D21" s="7" t="s">
        <v>42</v>
      </c>
      <c r="E21" s="5"/>
      <c r="F21" s="5"/>
      <c r="G21" s="5"/>
    </row>
    <row r="22" spans="1:7" ht="37.5" x14ac:dyDescent="0.3">
      <c r="A22" s="5"/>
      <c r="B22" s="7" t="s">
        <v>25</v>
      </c>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23</v>
      </c>
      <c r="B25" s="3">
        <f t="shared" ref="B25:E25" si="3">A25+1</f>
        <v>24</v>
      </c>
      <c r="C25" s="3">
        <f t="shared" si="3"/>
        <v>25</v>
      </c>
      <c r="D25" s="3">
        <f t="shared" si="3"/>
        <v>26</v>
      </c>
      <c r="E25" s="3">
        <f t="shared" si="3"/>
        <v>27</v>
      </c>
      <c r="F25" s="3">
        <f>E25+1</f>
        <v>28</v>
      </c>
      <c r="G25" s="3">
        <f>F25+1</f>
        <v>29</v>
      </c>
    </row>
    <row r="26" spans="1:7" ht="37.5" x14ac:dyDescent="0.3">
      <c r="A26" s="5"/>
      <c r="B26" s="5"/>
      <c r="C26" s="5"/>
      <c r="D26" s="5"/>
      <c r="E26" s="7" t="s">
        <v>19</v>
      </c>
      <c r="F26" s="5"/>
      <c r="G26" s="32" t="s">
        <v>57</v>
      </c>
    </row>
    <row r="27" spans="1:7" ht="37.5" x14ac:dyDescent="0.3">
      <c r="A27" s="5"/>
      <c r="B27" s="5"/>
      <c r="C27" s="5"/>
      <c r="D27" s="5"/>
      <c r="E27" s="7" t="s">
        <v>20</v>
      </c>
      <c r="F27" s="5"/>
      <c r="G27" s="5"/>
    </row>
    <row r="28" spans="1:7" x14ac:dyDescent="0.3">
      <c r="A28" s="5"/>
      <c r="B28" s="5"/>
      <c r="C28" s="5"/>
      <c r="D28" s="5"/>
      <c r="E28" s="5"/>
      <c r="F28" s="5"/>
      <c r="G28" s="5"/>
    </row>
    <row r="29" spans="1:7" ht="19.5" thickBot="1" x14ac:dyDescent="0.35">
      <c r="A29" s="6"/>
      <c r="B29" s="6"/>
      <c r="C29" s="6"/>
      <c r="D29" s="6"/>
      <c r="E29" s="6"/>
      <c r="F29" s="6"/>
      <c r="G29" s="6"/>
    </row>
    <row r="30" spans="1:7" x14ac:dyDescent="0.3">
      <c r="A30" s="3">
        <f>G25+1</f>
        <v>30</v>
      </c>
      <c r="B30" s="3">
        <f t="shared" ref="B30" si="4">A30+1</f>
        <v>31</v>
      </c>
    </row>
    <row r="31" spans="1:7" x14ac:dyDescent="0.3">
      <c r="A31" s="5"/>
      <c r="B31" s="5"/>
    </row>
    <row r="32" spans="1:7" x14ac:dyDescent="0.3">
      <c r="A32" s="5"/>
      <c r="B32" s="5"/>
    </row>
    <row r="33" spans="1:2" x14ac:dyDescent="0.3">
      <c r="A33" s="5"/>
      <c r="B33" s="5"/>
    </row>
    <row r="34" spans="1:2" ht="19.5" thickBot="1" x14ac:dyDescent="0.35">
      <c r="A34" s="6"/>
      <c r="B34" s="6"/>
    </row>
    <row r="38" spans="1:2" ht="19.5" thickBot="1" x14ac:dyDescent="0.35"/>
    <row r="39" spans="1:2" ht="19.5" thickBot="1" x14ac:dyDescent="0.35">
      <c r="A39" s="8" t="s">
        <v>8</v>
      </c>
    </row>
    <row r="40" spans="1:2" ht="19.5" thickBot="1" x14ac:dyDescent="0.35">
      <c r="A40" s="8" t="s">
        <v>9</v>
      </c>
    </row>
    <row r="41" spans="1:2" ht="19.5" thickBot="1" x14ac:dyDescent="0.35">
      <c r="A41" s="8" t="s">
        <v>10</v>
      </c>
    </row>
    <row r="42" spans="1:2" x14ac:dyDescent="0.3">
      <c r="A42" s="9" t="s">
        <v>12</v>
      </c>
    </row>
    <row r="43" spans="1:2" ht="37.5" x14ac:dyDescent="0.3">
      <c r="A43" s="7" t="s">
        <v>35</v>
      </c>
    </row>
    <row r="44" spans="1:2" x14ac:dyDescent="0.3">
      <c r="A44" s="5" t="s">
        <v>13</v>
      </c>
    </row>
    <row r="45" spans="1:2" x14ac:dyDescent="0.3">
      <c r="A45" s="5" t="s">
        <v>14</v>
      </c>
    </row>
    <row r="46" spans="1:2" ht="19.5" thickBot="1" x14ac:dyDescent="0.35">
      <c r="A46" s="6" t="s">
        <v>15</v>
      </c>
    </row>
    <row r="47" spans="1:2" x14ac:dyDescent="0.3">
      <c r="A47" s="9" t="s">
        <v>11</v>
      </c>
    </row>
    <row r="48" spans="1:2" x14ac:dyDescent="0.3">
      <c r="A48" s="5" t="s">
        <v>36</v>
      </c>
    </row>
    <row r="49" spans="1:1" x14ac:dyDescent="0.3">
      <c r="A49" s="5" t="s">
        <v>37</v>
      </c>
    </row>
    <row r="50" spans="1:1" ht="37.5" x14ac:dyDescent="0.3">
      <c r="A50" s="7" t="s">
        <v>38</v>
      </c>
    </row>
    <row r="51" spans="1:1" x14ac:dyDescent="0.3">
      <c r="A51" s="5" t="s">
        <v>41</v>
      </c>
    </row>
    <row r="52" spans="1:1" x14ac:dyDescent="0.3">
      <c r="A52" s="5" t="s">
        <v>39</v>
      </c>
    </row>
    <row r="53" spans="1:1" ht="19.5" thickBot="1" x14ac:dyDescent="0.35">
      <c r="A53" s="6" t="s">
        <v>40</v>
      </c>
    </row>
    <row r="54" spans="1:1" ht="19.5" thickBot="1" x14ac:dyDescent="0.35">
      <c r="A54" s="22" t="s">
        <v>54</v>
      </c>
    </row>
    <row r="55" spans="1:1" x14ac:dyDescent="0.3">
      <c r="A55" s="23" t="s">
        <v>55</v>
      </c>
    </row>
  </sheetData>
  <mergeCells count="1">
    <mergeCell ref="A2:G2"/>
  </mergeCells>
  <phoneticPr fontId="1" type="noConversion"/>
  <conditionalFormatting sqref="A38:A55">
    <cfRule type="containsText" dxfId="525" priority="23" operator="containsText" text="M&amp;R">
      <formula>NOT(ISERROR(SEARCH("M&amp;R",A38)))</formula>
    </cfRule>
    <cfRule type="containsText" dxfId="524" priority="24" operator="containsText" text="North S.">
      <formula>NOT(ISERROR(SEARCH("North S.",A38)))</formula>
    </cfRule>
    <cfRule type="containsText" dxfId="523" priority="25" operator="containsText" text="NS">
      <formula>NOT(ISERROR(SEARCH("NS",A38)))</formula>
    </cfRule>
    <cfRule type="containsText" dxfId="522" priority="26" operator="containsText" text="Alante">
      <formula>NOT(ISERROR(SEARCH("Alante",A38)))</formula>
    </cfRule>
    <cfRule type="containsText" dxfId="521" priority="27" operator="containsText" text="Alante">
      <formula>NOT(ISERROR(SEARCH("Alante",A38)))</formula>
    </cfRule>
    <cfRule type="containsText" dxfId="520" priority="28" operator="containsText" text="Alumus">
      <formula>NOT(ISERROR(SEARCH("Alumus",A38)))</formula>
    </cfRule>
    <cfRule type="containsText" dxfId="519" priority="29" operator="containsText" text="Aleca">
      <formula>NOT(ISERROR(SEARCH("Aleca",A38)))</formula>
    </cfRule>
    <cfRule type="containsText" dxfId="518" priority="31" operator="containsText" text="Chandler">
      <formula>NOT(ISERROR(SEARCH("Chandler",A38)))</formula>
    </cfRule>
    <cfRule type="containsText" dxfId="517" priority="32" operator="containsText" text="Mesa">
      <formula>NOT(ISERROR(SEARCH("Mesa",A38)))</formula>
    </cfRule>
  </conditionalFormatting>
  <conditionalFormatting sqref="A54">
    <cfRule type="containsText" dxfId="516" priority="7" operator="containsText" text="MKT: ">
      <formula>NOT(ISERROR(SEARCH("MKT: ",A54)))</formula>
    </cfRule>
    <cfRule type="containsText" dxfId="515" priority="11" operator="containsText" text="MKT: ">
      <formula>NOT(ISERROR(SEARCH("MKT: ",A54)))</formula>
    </cfRule>
    <cfRule type="containsText" dxfId="514" priority="14" operator="containsText" text="MKT:">
      <formula>NOT(ISERROR(SEARCH("MKT:",A54)))</formula>
    </cfRule>
  </conditionalFormatting>
  <conditionalFormatting sqref="A54:A55">
    <cfRule type="containsText" dxfId="513" priority="8" operator="containsText" text="REC: ">
      <formula>NOT(ISERROR(SEARCH("REC: ",A54)))</formula>
    </cfRule>
  </conditionalFormatting>
  <conditionalFormatting sqref="A55">
    <cfRule type="containsText" dxfId="512" priority="13" operator="containsText" text="REC:">
      <formula>NOT(ISERROR(SEARCH("REC:",A55)))</formula>
    </cfRule>
  </conditionalFormatting>
  <conditionalFormatting sqref="A2:XFD37 B38:XFD55 A56:XFD1048576">
    <cfRule type="containsText" dxfId="511" priority="42" operator="containsText" text="North S.">
      <formula>NOT(ISERROR(SEARCH("North S.",A2)))</formula>
    </cfRule>
    <cfRule type="containsText" dxfId="510" priority="43" operator="containsText" text="NS">
      <formula>NOT(ISERROR(SEARCH("NS",A2)))</formula>
    </cfRule>
    <cfRule type="containsText" dxfId="509" priority="44" operator="containsText" text="Alante">
      <formula>NOT(ISERROR(SEARCH("Alante",A2)))</formula>
    </cfRule>
    <cfRule type="containsText" dxfId="508" priority="45" operator="containsText" text="Alante">
      <formula>NOT(ISERROR(SEARCH("Alante",A2)))</formula>
    </cfRule>
    <cfRule type="containsText" dxfId="507" priority="46" operator="containsText" text="Alumus">
      <formula>NOT(ISERROR(SEARCH("Alumus",A2)))</formula>
    </cfRule>
    <cfRule type="containsText" dxfId="506" priority="47" operator="containsText" text="Aleca">
      <formula>NOT(ISERROR(SEARCH("Aleca",A2)))</formula>
    </cfRule>
    <cfRule type="containsText" dxfId="505" priority="48" operator="containsText" text="M&amp;R">
      <formula>NOT(ISERROR(SEARCH("M&amp;R",A2)))</formula>
    </cfRule>
    <cfRule type="containsText" dxfId="504" priority="49" operator="containsText" text="Chandler">
      <formula>NOT(ISERROR(SEARCH("Chandler",A2)))</formula>
    </cfRule>
    <cfRule type="containsText" dxfId="503" priority="50" operator="containsText" text="Mesa">
      <formula>NOT(ISERROR(SEARCH("Mesa",A2)))</formula>
    </cfRule>
  </conditionalFormatting>
  <conditionalFormatting sqref="A2:XFD1048576">
    <cfRule type="containsText" dxfId="502" priority="15" operator="containsText" text="RC: ">
      <formula>NOT(ISERROR(SEARCH("RC: ",A2)))</formula>
    </cfRule>
    <cfRule type="containsText" dxfId="501" priority="16" operator="containsText" text="LC: ">
      <formula>NOT(ISERROR(SEARCH("LC: ",A2)))</formula>
    </cfRule>
    <cfRule type="containsText" dxfId="500" priority="17" operator="containsText" text="Ridge: ">
      <formula>NOT(ISERROR(SEARCH("Ridge: ",A2)))</formula>
    </cfRule>
    <cfRule type="containsText" dxfId="499" priority="18" operator="containsText" text="NWL: ">
      <formula>NOT(ISERROR(SEARCH("NWL: ",A2)))</formula>
    </cfRule>
    <cfRule type="containsText" dxfId="498" priority="19" operator="containsText" text="CM: ">
      <formula>NOT(ISERROR(SEARCH("CM: ",A2)))</formula>
    </cfRule>
    <cfRule type="containsText" dxfId="497" priority="20" operator="containsText" text="C!: ">
      <formula>NOT(ISERROR(SEARCH("C!: ",A2)))</formula>
    </cfRule>
    <cfRule type="containsText" dxfId="496" priority="21" operator="containsText" text="CI: ">
      <formula>NOT(ISERROR(SEARCH("CI: ",A2)))</formula>
    </cfRule>
    <cfRule type="containsText" dxfId="495" priority="22" operator="containsText" text="Surprise">
      <formula>NOT(ISERROR(SEARCH("Surprise",A2)))</formula>
    </cfRule>
    <cfRule type="containsText" dxfId="494" priority="30" operator="containsText" text="M&amp;R">
      <formula>NOT(ISERROR(SEARCH("M&amp;R",A2)))</formula>
    </cfRule>
  </conditionalFormatting>
  <conditionalFormatting sqref="B11">
    <cfRule type="containsText" dxfId="493" priority="6" operator="containsText" text="REC: ">
      <formula>NOT(ISERROR(SEARCH("REC: ",B11)))</formula>
    </cfRule>
    <cfRule type="containsText" dxfId="492" priority="10" operator="containsText" text="MKT: ">
      <formula>NOT(ISERROR(SEARCH("MKT: ",B11)))</formula>
    </cfRule>
  </conditionalFormatting>
  <conditionalFormatting sqref="C53">
    <cfRule type="containsText" dxfId="491" priority="12" operator="containsText" text="MKT: ">
      <formula>NOT(ISERROR(SEARCH("MKT: ",C53)))</formula>
    </cfRule>
  </conditionalFormatting>
  <conditionalFormatting sqref="G11">
    <cfRule type="containsText" dxfId="490" priority="3" operator="containsText" text="MKT: ">
      <formula>NOT(ISERROR(SEARCH("MKT: ",G11)))</formula>
    </cfRule>
  </conditionalFormatting>
  <conditionalFormatting sqref="G26">
    <cfRule type="containsText" dxfId="489" priority="4" operator="containsText" text="MKT: ">
      <formula>NOT(ISERROR(SEARCH("MKT: ",G26)))</formula>
    </cfRule>
    <cfRule type="containsText" dxfId="488" priority="5" operator="containsText" text="MKT: ">
      <formula>NOT(ISERROR(SEARCH("MKT: ",G26)))</formula>
    </cfRule>
  </conditionalFormatting>
  <conditionalFormatting sqref="A1:XFD1">
    <cfRule type="containsText" dxfId="487" priority="1" operator="containsText" text="REC: ">
      <formula>NOT(ISERROR(SEARCH("REC: ",A1)))</formula>
    </cfRule>
    <cfRule type="containsText" dxfId="486" priority="2" operator="containsText" text="MKT: ">
      <formula>NOT(ISERROR(SEARCH("MKT: ",A1)))</formula>
    </cfRule>
  </conditionalFormatting>
  <hyperlinks>
    <hyperlink ref="B11" location="'Recruiting Events'!A48" display="REC: GCU Healthcare Career Fair" xr:uid="{50F0E7EB-EC48-4B4D-86D0-A57FAD504447}"/>
    <hyperlink ref="G11" location="'MKT Events'!A41" display="MKT: ACMA AZ Chpt. - Transition of Care 7AM" xr:uid="{FB0C0DA0-5E24-49FE-8945-F1739F80B913}"/>
    <hyperlink ref="G26" location="'MKT Events'!A122" display="MKT: Phoenix Heart Walk 8AM" xr:uid="{46DB9EA8-D78D-4B14-972A-E9A8ED464104}"/>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B51E2-28EA-4E91-8141-15221A2E68CA}">
  <sheetPr codeName="Sheet3"/>
  <dimension ref="A1:I49"/>
  <sheetViews>
    <sheetView workbookViewId="0">
      <selection activeCell="D13" sqref="D13"/>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26</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f t="shared" ref="C5:F5" si="0">B5+1</f>
        <v>1</v>
      </c>
      <c r="D5" s="3">
        <f t="shared" si="0"/>
        <v>2</v>
      </c>
      <c r="E5" s="3">
        <f t="shared" si="0"/>
        <v>3</v>
      </c>
      <c r="F5" s="3">
        <f t="shared" si="0"/>
        <v>4</v>
      </c>
      <c r="G5" s="3">
        <f>F5+1</f>
        <v>5</v>
      </c>
      <c r="I5" s="4"/>
    </row>
    <row r="6" spans="1:9" ht="37.5" x14ac:dyDescent="0.3">
      <c r="A6" s="5"/>
      <c r="B6" s="5"/>
      <c r="C6" s="5"/>
      <c r="D6" s="5"/>
      <c r="E6" s="21"/>
      <c r="F6" s="28" t="s">
        <v>65</v>
      </c>
      <c r="G6" s="5"/>
      <c r="I6" s="4"/>
    </row>
    <row r="7" spans="1:9" x14ac:dyDescent="0.3">
      <c r="A7" s="5"/>
      <c r="B7" s="5"/>
      <c r="C7" s="5"/>
      <c r="D7" s="5"/>
      <c r="E7" s="159" t="s">
        <v>82</v>
      </c>
      <c r="F7" s="161"/>
      <c r="G7" s="160"/>
      <c r="I7" s="4"/>
    </row>
    <row r="8" spans="1:9" x14ac:dyDescent="0.3">
      <c r="A8" s="5"/>
      <c r="B8" s="5"/>
      <c r="C8" s="5"/>
      <c r="D8" s="5"/>
      <c r="E8" s="5"/>
      <c r="F8" s="5" t="s">
        <v>99</v>
      </c>
      <c r="G8" s="5"/>
      <c r="I8" s="4"/>
    </row>
    <row r="9" spans="1:9" ht="19.5" thickBot="1" x14ac:dyDescent="0.35">
      <c r="A9" s="6"/>
      <c r="B9" s="6"/>
      <c r="C9" s="6"/>
      <c r="D9" s="6"/>
      <c r="E9" s="6"/>
      <c r="F9" s="6"/>
      <c r="G9" s="6"/>
    </row>
    <row r="10" spans="1:9" ht="19.5" thickBot="1" x14ac:dyDescent="0.35">
      <c r="A10" s="3">
        <f>G5+1</f>
        <v>6</v>
      </c>
      <c r="B10" s="3">
        <f t="shared" ref="B10:E10" si="1">A10+1</f>
        <v>7</v>
      </c>
      <c r="C10" s="3">
        <f t="shared" si="1"/>
        <v>8</v>
      </c>
      <c r="D10" s="3">
        <f t="shared" si="1"/>
        <v>9</v>
      </c>
      <c r="E10" s="3">
        <f t="shared" si="1"/>
        <v>10</v>
      </c>
      <c r="F10" s="3">
        <f>E10+1</f>
        <v>11</v>
      </c>
      <c r="G10" s="3">
        <f>F10+1</f>
        <v>12</v>
      </c>
    </row>
    <row r="11" spans="1:9" ht="75.75" thickBot="1" x14ac:dyDescent="0.35">
      <c r="A11" s="5"/>
      <c r="B11" s="5"/>
      <c r="C11" s="28" t="s">
        <v>64</v>
      </c>
      <c r="D11" s="94" t="s">
        <v>59</v>
      </c>
      <c r="E11" s="5"/>
      <c r="F11" s="30" t="s">
        <v>66</v>
      </c>
      <c r="G11" s="7"/>
    </row>
    <row r="12" spans="1:9" ht="37.5" x14ac:dyDescent="0.3">
      <c r="A12" s="5"/>
      <c r="B12" s="5"/>
      <c r="C12" s="5"/>
      <c r="D12" s="159" t="s">
        <v>85</v>
      </c>
      <c r="E12" s="160"/>
      <c r="F12" s="7" t="s">
        <v>100</v>
      </c>
      <c r="G12" s="5"/>
    </row>
    <row r="13" spans="1:9" ht="37.5" x14ac:dyDescent="0.3">
      <c r="A13" s="5"/>
      <c r="B13" s="5"/>
      <c r="C13" s="5"/>
      <c r="D13" s="5"/>
      <c r="E13" s="5"/>
      <c r="F13" s="7" t="s">
        <v>106</v>
      </c>
      <c r="G13" s="5"/>
      <c r="I13" s="4"/>
    </row>
    <row r="14" spans="1:9" ht="19.5" thickBot="1" x14ac:dyDescent="0.35">
      <c r="A14" s="6"/>
      <c r="B14" s="6"/>
      <c r="C14" s="6"/>
      <c r="D14" s="6"/>
      <c r="E14" s="6"/>
      <c r="F14" s="6"/>
      <c r="G14" s="6"/>
    </row>
    <row r="15" spans="1:9" x14ac:dyDescent="0.3">
      <c r="A15" s="3">
        <f>G10+1</f>
        <v>13</v>
      </c>
      <c r="B15" s="3">
        <f t="shared" ref="B15:E15" si="2">A15+1</f>
        <v>14</v>
      </c>
      <c r="C15" s="3">
        <f t="shared" si="2"/>
        <v>15</v>
      </c>
      <c r="D15" s="3">
        <f t="shared" si="2"/>
        <v>16</v>
      </c>
      <c r="E15" s="3">
        <f t="shared" si="2"/>
        <v>17</v>
      </c>
      <c r="F15" s="3">
        <f>E15+1</f>
        <v>18</v>
      </c>
      <c r="G15" s="3">
        <f>F15+1</f>
        <v>19</v>
      </c>
    </row>
    <row r="16" spans="1:9" ht="56.25" x14ac:dyDescent="0.3">
      <c r="A16" s="5"/>
      <c r="B16" s="7"/>
      <c r="D16" s="7"/>
      <c r="E16" s="7"/>
      <c r="F16" s="7" t="s">
        <v>101</v>
      </c>
      <c r="G16" s="7" t="s">
        <v>105</v>
      </c>
    </row>
    <row r="17" spans="1:7" x14ac:dyDescent="0.3">
      <c r="A17" s="5"/>
      <c r="B17" s="5"/>
      <c r="C17" s="5"/>
      <c r="D17" s="5"/>
      <c r="E17" s="7"/>
      <c r="F17" s="5" t="s">
        <v>102</v>
      </c>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20</v>
      </c>
      <c r="B20" s="3">
        <f t="shared" ref="B20:E20" si="3">A20+1</f>
        <v>21</v>
      </c>
      <c r="C20" s="3">
        <f t="shared" si="3"/>
        <v>22</v>
      </c>
      <c r="D20" s="3">
        <f t="shared" si="3"/>
        <v>23</v>
      </c>
      <c r="E20" s="3">
        <f t="shared" si="3"/>
        <v>24</v>
      </c>
      <c r="F20" s="3">
        <f>E20+1</f>
        <v>25</v>
      </c>
      <c r="G20" s="3">
        <f>F20+1</f>
        <v>26</v>
      </c>
    </row>
    <row r="21" spans="1:7" x14ac:dyDescent="0.3">
      <c r="A21" s="5"/>
      <c r="B21" s="7"/>
      <c r="C21" s="162" t="s">
        <v>88</v>
      </c>
      <c r="D21" s="163"/>
      <c r="E21" s="164"/>
      <c r="F21" s="5" t="s">
        <v>104</v>
      </c>
      <c r="G21" s="5"/>
    </row>
    <row r="22" spans="1:7" x14ac:dyDescent="0.3">
      <c r="A22" s="5"/>
      <c r="B22" s="7"/>
      <c r="C22" s="5" t="s">
        <v>103</v>
      </c>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27</v>
      </c>
      <c r="B25" s="3">
        <f t="shared" ref="B25:D25" si="4">A25+1</f>
        <v>28</v>
      </c>
      <c r="C25" s="3">
        <f t="shared" si="4"/>
        <v>29</v>
      </c>
      <c r="D25" s="3">
        <f t="shared" si="4"/>
        <v>30</v>
      </c>
    </row>
    <row r="26" spans="1:7" x14ac:dyDescent="0.3">
      <c r="A26" s="5"/>
      <c r="B26" s="5"/>
      <c r="C26" s="5"/>
      <c r="D26" s="5"/>
    </row>
    <row r="27" spans="1:7" x14ac:dyDescent="0.3">
      <c r="A27" s="5"/>
      <c r="B27" s="5"/>
      <c r="C27" s="5"/>
      <c r="D27" s="5"/>
    </row>
    <row r="28" spans="1:7" x14ac:dyDescent="0.3">
      <c r="A28" s="5"/>
      <c r="B28" s="5"/>
      <c r="C28" s="5"/>
      <c r="D28" s="5"/>
    </row>
    <row r="29" spans="1:7" ht="19.5" thickBot="1" x14ac:dyDescent="0.35">
      <c r="A29" s="6"/>
      <c r="B29" s="6"/>
      <c r="C29" s="6"/>
      <c r="D29" s="6"/>
    </row>
    <row r="32" spans="1:7" ht="19.5" thickBot="1" x14ac:dyDescent="0.35"/>
    <row r="33" spans="1:1" ht="19.5" thickBot="1" x14ac:dyDescent="0.35">
      <c r="A33" s="8" t="s">
        <v>8</v>
      </c>
    </row>
    <row r="34" spans="1:1" ht="19.5" thickBot="1" x14ac:dyDescent="0.35">
      <c r="A34" s="8" t="s">
        <v>9</v>
      </c>
    </row>
    <row r="35" spans="1:1" ht="19.5" thickBot="1" x14ac:dyDescent="0.35">
      <c r="A35" s="8" t="s">
        <v>10</v>
      </c>
    </row>
    <row r="36" spans="1:1" x14ac:dyDescent="0.3">
      <c r="A36" s="9" t="s">
        <v>12</v>
      </c>
    </row>
    <row r="37" spans="1:1" ht="37.5" x14ac:dyDescent="0.3">
      <c r="A37" s="7" t="s">
        <v>35</v>
      </c>
    </row>
    <row r="38" spans="1:1" x14ac:dyDescent="0.3">
      <c r="A38" s="5" t="s">
        <v>13</v>
      </c>
    </row>
    <row r="39" spans="1:1" x14ac:dyDescent="0.3">
      <c r="A39" s="5" t="s">
        <v>14</v>
      </c>
    </row>
    <row r="40" spans="1:1" ht="19.5" thickBot="1" x14ac:dyDescent="0.35">
      <c r="A40" s="6" t="s">
        <v>15</v>
      </c>
    </row>
    <row r="41" spans="1:1" x14ac:dyDescent="0.3">
      <c r="A41" s="9" t="s">
        <v>11</v>
      </c>
    </row>
    <row r="42" spans="1:1" x14ac:dyDescent="0.3">
      <c r="A42" s="5" t="s">
        <v>36</v>
      </c>
    </row>
    <row r="43" spans="1:1" x14ac:dyDescent="0.3">
      <c r="A43" s="5" t="s">
        <v>37</v>
      </c>
    </row>
    <row r="44" spans="1:1" ht="37.5" x14ac:dyDescent="0.3">
      <c r="A44" s="7" t="s">
        <v>38</v>
      </c>
    </row>
    <row r="45" spans="1:1" x14ac:dyDescent="0.3">
      <c r="A45" s="5" t="s">
        <v>41</v>
      </c>
    </row>
    <row r="46" spans="1:1" x14ac:dyDescent="0.3">
      <c r="A46" s="5" t="s">
        <v>39</v>
      </c>
    </row>
    <row r="47" spans="1:1" ht="19.5" thickBot="1" x14ac:dyDescent="0.35">
      <c r="A47" s="6" t="s">
        <v>40</v>
      </c>
    </row>
    <row r="48" spans="1:1" ht="19.5" thickBot="1" x14ac:dyDescent="0.35">
      <c r="A48" s="22" t="s">
        <v>54</v>
      </c>
    </row>
    <row r="49" spans="1:1" x14ac:dyDescent="0.3">
      <c r="A49" s="23" t="s">
        <v>55</v>
      </c>
    </row>
  </sheetData>
  <mergeCells count="4">
    <mergeCell ref="A2:G2"/>
    <mergeCell ref="D12:E12"/>
    <mergeCell ref="E7:G7"/>
    <mergeCell ref="C21:E21"/>
  </mergeCells>
  <conditionalFormatting sqref="A32">
    <cfRule type="containsText" dxfId="485" priority="40" operator="containsText" text="North S.">
      <formula>NOT(ISERROR(SEARCH("North S.",A32)))</formula>
    </cfRule>
    <cfRule type="containsText" dxfId="484" priority="41" operator="containsText" text="NS">
      <formula>NOT(ISERROR(SEARCH("NS",A32)))</formula>
    </cfRule>
    <cfRule type="containsText" dxfId="483" priority="42" operator="containsText" text="Alante">
      <formula>NOT(ISERROR(SEARCH("Alante",A32)))</formula>
    </cfRule>
    <cfRule type="containsText" dxfId="482" priority="43" operator="containsText" text="Alante">
      <formula>NOT(ISERROR(SEARCH("Alante",A32)))</formula>
    </cfRule>
    <cfRule type="containsText" dxfId="481" priority="44" operator="containsText" text="Alumus">
      <formula>NOT(ISERROR(SEARCH("Alumus",A32)))</formula>
    </cfRule>
    <cfRule type="containsText" dxfId="480" priority="45" operator="containsText" text="Aleca">
      <formula>NOT(ISERROR(SEARCH("Aleca",A32)))</formula>
    </cfRule>
    <cfRule type="containsText" dxfId="479" priority="46" operator="containsText" text="M&amp;R">
      <formula>NOT(ISERROR(SEARCH("M&amp;R",A32)))</formula>
    </cfRule>
    <cfRule type="containsText" dxfId="478" priority="47" operator="containsText" text="Chandler">
      <formula>NOT(ISERROR(SEARCH("Chandler",A32)))</formula>
    </cfRule>
    <cfRule type="containsText" dxfId="477" priority="48" operator="containsText" text="Mesa">
      <formula>NOT(ISERROR(SEARCH("Mesa",A32)))</formula>
    </cfRule>
  </conditionalFormatting>
  <conditionalFormatting sqref="A33:A49">
    <cfRule type="containsText" dxfId="476" priority="19" operator="containsText" text="M&amp;R">
      <formula>NOT(ISERROR(SEARCH("M&amp;R",A33)))</formula>
    </cfRule>
    <cfRule type="containsText" dxfId="475" priority="20" operator="containsText" text="North S.">
      <formula>NOT(ISERROR(SEARCH("North S.",A33)))</formula>
    </cfRule>
    <cfRule type="containsText" dxfId="474" priority="21" operator="containsText" text="NS">
      <formula>NOT(ISERROR(SEARCH("NS",A33)))</formula>
    </cfRule>
    <cfRule type="containsText" dxfId="473" priority="22" operator="containsText" text="Alante">
      <formula>NOT(ISERROR(SEARCH("Alante",A33)))</formula>
    </cfRule>
    <cfRule type="containsText" dxfId="472" priority="23" operator="containsText" text="Alante">
      <formula>NOT(ISERROR(SEARCH("Alante",A33)))</formula>
    </cfRule>
    <cfRule type="containsText" dxfId="471" priority="24" operator="containsText" text="Alumus">
      <formula>NOT(ISERROR(SEARCH("Alumus",A33)))</formula>
    </cfRule>
    <cfRule type="containsText" dxfId="470" priority="25" operator="containsText" text="Aleca">
      <formula>NOT(ISERROR(SEARCH("Aleca",A33)))</formula>
    </cfRule>
    <cfRule type="containsText" dxfId="469" priority="27" operator="containsText" text="Chandler">
      <formula>NOT(ISERROR(SEARCH("Chandler",A33)))</formula>
    </cfRule>
    <cfRule type="containsText" dxfId="468" priority="28" operator="containsText" text="Mesa">
      <formula>NOT(ISERROR(SEARCH("Mesa",A33)))</formula>
    </cfRule>
  </conditionalFormatting>
  <conditionalFormatting sqref="A48">
    <cfRule type="containsText" dxfId="467" priority="5" operator="containsText" text="MKT: ">
      <formula>NOT(ISERROR(SEARCH("MKT: ",A48)))</formula>
    </cfRule>
    <cfRule type="containsText" dxfId="466" priority="8" operator="containsText" text="MKT: ">
      <formula>NOT(ISERROR(SEARCH("MKT: ",A48)))</formula>
    </cfRule>
    <cfRule type="containsText" dxfId="465" priority="10" operator="containsText" text="MKT:">
      <formula>NOT(ISERROR(SEARCH("MKT:",A48)))</formula>
    </cfRule>
  </conditionalFormatting>
  <conditionalFormatting sqref="A48:A49">
    <cfRule type="containsText" dxfId="464" priority="6" operator="containsText" text="REC: ">
      <formula>NOT(ISERROR(SEARCH("REC: ",A48)))</formula>
    </cfRule>
  </conditionalFormatting>
  <conditionalFormatting sqref="A49">
    <cfRule type="containsText" dxfId="463" priority="9" operator="containsText" text="REC:">
      <formula>NOT(ISERROR(SEARCH("REC:",A49)))</formula>
    </cfRule>
  </conditionalFormatting>
  <conditionalFormatting sqref="B32:XFD49 A50:XFD1048576 A2:XFD6 A13:XFD20 A12:D12 F12:XFD12 A8:XFD11 A7:E7 H7:XFD7 A22:XFD31 A21:C21 F21:XFD21">
    <cfRule type="containsText" dxfId="462" priority="58" operator="containsText" text="North S.">
      <formula>NOT(ISERROR(SEARCH("North S.",A2)))</formula>
    </cfRule>
    <cfRule type="containsText" dxfId="461" priority="59" operator="containsText" text="NS">
      <formula>NOT(ISERROR(SEARCH("NS",A2)))</formula>
    </cfRule>
    <cfRule type="containsText" dxfId="460" priority="60" operator="containsText" text="Alante">
      <formula>NOT(ISERROR(SEARCH("Alante",A2)))</formula>
    </cfRule>
    <cfRule type="containsText" dxfId="459" priority="61" operator="containsText" text="Alante">
      <formula>NOT(ISERROR(SEARCH("Alante",A2)))</formula>
    </cfRule>
    <cfRule type="containsText" dxfId="458" priority="62" operator="containsText" text="Alumus">
      <formula>NOT(ISERROR(SEARCH("Alumus",A2)))</formula>
    </cfRule>
    <cfRule type="containsText" dxfId="457" priority="63" operator="containsText" text="Aleca">
      <formula>NOT(ISERROR(SEARCH("Aleca",A2)))</formula>
    </cfRule>
    <cfRule type="containsText" dxfId="456" priority="64" operator="containsText" text="M&amp;R">
      <formula>NOT(ISERROR(SEARCH("M&amp;R",A2)))</formula>
    </cfRule>
    <cfRule type="containsText" dxfId="455" priority="65" operator="containsText" text="Chandler">
      <formula>NOT(ISERROR(SEARCH("Chandler",A2)))</formula>
    </cfRule>
    <cfRule type="containsText" dxfId="454" priority="66" operator="containsText" text="Mesa">
      <formula>NOT(ISERROR(SEARCH("Mesa",A2)))</formula>
    </cfRule>
  </conditionalFormatting>
  <conditionalFormatting sqref="A2:XFD6 A13:XFD20 A12:D12 F12:XFD12 A8:XFD11 A7:E7 H7:XFD7 A22:XFD1048576 A21:C21 F21:XFD21">
    <cfRule type="containsText" dxfId="453" priority="3" operator="containsText" text="MKT: ">
      <formula>NOT(ISERROR(SEARCH("MKT: ",A2)))</formula>
    </cfRule>
    <cfRule type="containsText" dxfId="452" priority="4" operator="containsText" text="REC: ">
      <formula>NOT(ISERROR(SEARCH("REC: ",A2)))</formula>
    </cfRule>
    <cfRule type="containsText" dxfId="451" priority="11" operator="containsText" text="RC: ">
      <formula>NOT(ISERROR(SEARCH("RC: ",A2)))</formula>
    </cfRule>
    <cfRule type="containsText" dxfId="450" priority="12" operator="containsText" text="LC: ">
      <formula>NOT(ISERROR(SEARCH("LC: ",A2)))</formula>
    </cfRule>
    <cfRule type="containsText" dxfId="449" priority="13" operator="containsText" text="Ridge: ">
      <formula>NOT(ISERROR(SEARCH("Ridge: ",A2)))</formula>
    </cfRule>
    <cfRule type="containsText" dxfId="448" priority="14" operator="containsText" text="NWL: ">
      <formula>NOT(ISERROR(SEARCH("NWL: ",A2)))</formula>
    </cfRule>
    <cfRule type="containsText" dxfId="447" priority="15" operator="containsText" text="CM: ">
      <formula>NOT(ISERROR(SEARCH("CM: ",A2)))</formula>
    </cfRule>
    <cfRule type="containsText" dxfId="446" priority="16" operator="containsText" text="C!: ">
      <formula>NOT(ISERROR(SEARCH("C!: ",A2)))</formula>
    </cfRule>
    <cfRule type="containsText" dxfId="445" priority="17" operator="containsText" text="CI: ">
      <formula>NOT(ISERROR(SEARCH("CI: ",A2)))</formula>
    </cfRule>
    <cfRule type="containsText" dxfId="444" priority="18" operator="containsText" text="Surprise">
      <formula>NOT(ISERROR(SEARCH("Surprise",A2)))</formula>
    </cfRule>
    <cfRule type="containsText" dxfId="443" priority="26" operator="containsText" text="M&amp;R">
      <formula>NOT(ISERROR(SEARCH("M&amp;R",A2)))</formula>
    </cfRule>
  </conditionalFormatting>
  <conditionalFormatting sqref="A1:XFD1">
    <cfRule type="containsText" dxfId="442" priority="1" operator="containsText" text="REC: ">
      <formula>NOT(ISERROR(SEARCH("REC: ",A1)))</formula>
    </cfRule>
    <cfRule type="containsText" dxfId="441" priority="2" operator="containsText" text="MKT: ">
      <formula>NOT(ISERROR(SEARCH("MKT: ",A1)))</formula>
    </cfRule>
  </conditionalFormatting>
  <hyperlinks>
    <hyperlink ref="C11" location="'Recruiting Events'!A78" display="REC: Gateway Community College OTA/PTA Career Fair 9AM" xr:uid="{9552F7FD-EC62-4ABC-9EDE-664342E4B007}"/>
    <hyperlink ref="F6" location="'Recruiting Events'!A117" display="REC: EVIT Power Campus Career Fair " xr:uid="{C6B475BC-E4E0-4C62-B07D-A56D90C0AF1E}"/>
    <hyperlink ref="F11" location="'Recruiting Events'!A156" display="REC: EVIT Mesa Main Campus Career Fair" xr:uid="{D697FFE7-D37C-4AD2-815F-82E60C477585}"/>
    <hyperlink ref="E7" location="'MKT Events'!A80" display="MKT: 2025 National Conferences Denver - ACMA" xr:uid="{0825FDB8-D964-4129-BDE3-006A023838AE}"/>
    <hyperlink ref="D12" location="'MKT Events'!A163" display="MKT: Population Health Management Summit" xr:uid="{9F89F9E9-2F2B-464B-8A96-C6AB91B78A54}"/>
    <hyperlink ref="C21:E21" location="'MKT Events'!A209" display="MKT: NAACOS - Accountable Care Organizations" xr:uid="{4F46F538-2B72-4E76-BFAE-773D48F20B1B}"/>
    <hyperlink ref="D11" location="'MKT Events'!A518" display="MKT: George Rozsa Golf Classic - Dignity Health Foundation EV 6AM" xr:uid="{253D58A2-DE02-4D57-ACE5-63598E5AC1B3}"/>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90EB0-F899-49AC-9172-F37C2E98E81A}">
  <sheetPr codeName="Sheet4"/>
  <dimension ref="A1:I50"/>
  <sheetViews>
    <sheetView workbookViewId="0">
      <selection sqref="A1:XFD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27</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c r="D5" s="3"/>
      <c r="E5" s="3">
        <f t="shared" ref="E5:F5" si="0">D5+1</f>
        <v>1</v>
      </c>
      <c r="F5" s="3">
        <f t="shared" si="0"/>
        <v>2</v>
      </c>
      <c r="G5" s="3">
        <f>F5+1</f>
        <v>3</v>
      </c>
      <c r="I5" s="4"/>
    </row>
    <row r="6" spans="1:9" ht="37.5" x14ac:dyDescent="0.3">
      <c r="A6" s="5"/>
      <c r="B6" s="5"/>
      <c r="C6" s="5"/>
      <c r="D6" s="5"/>
      <c r="E6" s="5"/>
      <c r="F6" s="28" t="s">
        <v>60</v>
      </c>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4</v>
      </c>
      <c r="B10" s="3">
        <f t="shared" ref="B10:E10" si="1">A10+1</f>
        <v>5</v>
      </c>
      <c r="C10" s="3">
        <f t="shared" si="1"/>
        <v>6</v>
      </c>
      <c r="D10" s="3">
        <f t="shared" si="1"/>
        <v>7</v>
      </c>
      <c r="E10" s="3">
        <f t="shared" si="1"/>
        <v>8</v>
      </c>
      <c r="F10" s="3">
        <f>E10+1</f>
        <v>9</v>
      </c>
      <c r="G10" s="3">
        <f>F10+1</f>
        <v>10</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11</v>
      </c>
      <c r="B15" s="3">
        <f t="shared" ref="B15:E15" si="2">A15+1</f>
        <v>12</v>
      </c>
      <c r="C15" s="3">
        <f t="shared" si="2"/>
        <v>13</v>
      </c>
      <c r="D15" s="3">
        <f t="shared" si="2"/>
        <v>14</v>
      </c>
      <c r="E15" s="3">
        <f t="shared" si="2"/>
        <v>15</v>
      </c>
      <c r="F15" s="3">
        <f>E15+1</f>
        <v>16</v>
      </c>
      <c r="G15" s="3">
        <f>F15+1</f>
        <v>17</v>
      </c>
    </row>
    <row r="16" spans="1:9" ht="37.5" x14ac:dyDescent="0.3">
      <c r="A16" s="5"/>
      <c r="B16" s="7"/>
      <c r="D16" s="7"/>
      <c r="E16" s="7"/>
      <c r="F16" s="28" t="s">
        <v>91</v>
      </c>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18</v>
      </c>
      <c r="B20" s="3">
        <f t="shared" ref="B20:E20" si="3">A20+1</f>
        <v>19</v>
      </c>
      <c r="C20" s="3">
        <f t="shared" si="3"/>
        <v>20</v>
      </c>
      <c r="D20" s="3">
        <f t="shared" si="3"/>
        <v>21</v>
      </c>
      <c r="E20" s="3">
        <f t="shared" si="3"/>
        <v>22</v>
      </c>
      <c r="F20" s="3">
        <f>E20+1</f>
        <v>23</v>
      </c>
      <c r="G20" s="3">
        <f>F20+1</f>
        <v>24</v>
      </c>
    </row>
    <row r="21" spans="1:7" x14ac:dyDescent="0.3">
      <c r="A21" s="5"/>
      <c r="B21" s="7"/>
      <c r="C21" s="5"/>
      <c r="D21" s="5"/>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25</v>
      </c>
      <c r="B25" s="3">
        <f t="shared" ref="B25:E25" si="4">A25+1</f>
        <v>26</v>
      </c>
      <c r="C25" s="3">
        <f t="shared" si="4"/>
        <v>27</v>
      </c>
      <c r="D25" s="3">
        <f t="shared" si="4"/>
        <v>28</v>
      </c>
      <c r="E25" s="3">
        <f t="shared" si="4"/>
        <v>29</v>
      </c>
      <c r="F25" s="3">
        <f>E25+1</f>
        <v>30</v>
      </c>
      <c r="G25" s="3">
        <f>F25+1</f>
        <v>31</v>
      </c>
    </row>
    <row r="26" spans="1:7" x14ac:dyDescent="0.3">
      <c r="A26" s="5"/>
      <c r="B26" s="5"/>
      <c r="C26" s="5"/>
      <c r="D26" s="5"/>
      <c r="E26" s="7"/>
      <c r="F26" s="5"/>
      <c r="G26" s="7"/>
    </row>
    <row r="27" spans="1:7" x14ac:dyDescent="0.3">
      <c r="A27" s="5"/>
      <c r="B27" s="5"/>
      <c r="C27" s="5"/>
      <c r="D27" s="5"/>
      <c r="E27" s="7"/>
      <c r="F27" s="5"/>
      <c r="G27" s="5"/>
    </row>
    <row r="28" spans="1:7" x14ac:dyDescent="0.3">
      <c r="A28" s="5"/>
      <c r="B28" s="5"/>
      <c r="C28" s="5"/>
      <c r="D28" s="5"/>
      <c r="E28" s="5"/>
      <c r="F28" s="5"/>
      <c r="G28" s="5"/>
    </row>
    <row r="29" spans="1:7" ht="19.5" thickBot="1" x14ac:dyDescent="0.35">
      <c r="A29" s="6"/>
      <c r="B29" s="6"/>
      <c r="C29" s="6"/>
      <c r="D29" s="6"/>
      <c r="E29" s="6"/>
      <c r="F29" s="6"/>
      <c r="G29" s="6"/>
    </row>
    <row r="33" spans="1:1" ht="19.5" thickBot="1" x14ac:dyDescent="0.35"/>
    <row r="34" spans="1:1" ht="19.5" thickBot="1" x14ac:dyDescent="0.35">
      <c r="A34" s="8" t="s">
        <v>8</v>
      </c>
    </row>
    <row r="35" spans="1:1" ht="19.5" thickBot="1" x14ac:dyDescent="0.35">
      <c r="A35" s="8" t="s">
        <v>9</v>
      </c>
    </row>
    <row r="36" spans="1:1" ht="19.5" thickBot="1" x14ac:dyDescent="0.35">
      <c r="A36" s="8" t="s">
        <v>10</v>
      </c>
    </row>
    <row r="37" spans="1:1" x14ac:dyDescent="0.3">
      <c r="A37" s="9" t="s">
        <v>12</v>
      </c>
    </row>
    <row r="38" spans="1:1" ht="37.5" x14ac:dyDescent="0.3">
      <c r="A38" s="7" t="s">
        <v>35</v>
      </c>
    </row>
    <row r="39" spans="1:1" x14ac:dyDescent="0.3">
      <c r="A39" s="5" t="s">
        <v>13</v>
      </c>
    </row>
    <row r="40" spans="1:1" x14ac:dyDescent="0.3">
      <c r="A40" s="5" t="s">
        <v>14</v>
      </c>
    </row>
    <row r="41" spans="1:1" ht="19.5" thickBot="1" x14ac:dyDescent="0.35">
      <c r="A41" s="6" t="s">
        <v>15</v>
      </c>
    </row>
    <row r="42" spans="1:1" x14ac:dyDescent="0.3">
      <c r="A42" s="9" t="s">
        <v>11</v>
      </c>
    </row>
    <row r="43" spans="1:1" x14ac:dyDescent="0.3">
      <c r="A43" s="5" t="s">
        <v>36</v>
      </c>
    </row>
    <row r="44" spans="1:1" x14ac:dyDescent="0.3">
      <c r="A44" s="5" t="s">
        <v>37</v>
      </c>
    </row>
    <row r="45" spans="1:1" ht="37.5" x14ac:dyDescent="0.3">
      <c r="A45" s="7" t="s">
        <v>38</v>
      </c>
    </row>
    <row r="46" spans="1:1" x14ac:dyDescent="0.3">
      <c r="A46" s="5" t="s">
        <v>41</v>
      </c>
    </row>
    <row r="47" spans="1:1" x14ac:dyDescent="0.3">
      <c r="A47" s="5" t="s">
        <v>39</v>
      </c>
    </row>
    <row r="48" spans="1:1" ht="19.5" thickBot="1" x14ac:dyDescent="0.35">
      <c r="A48" s="6" t="s">
        <v>40</v>
      </c>
    </row>
    <row r="49" spans="1:1" ht="19.5" thickBot="1" x14ac:dyDescent="0.35">
      <c r="A49" s="22" t="s">
        <v>54</v>
      </c>
    </row>
    <row r="50" spans="1:1" x14ac:dyDescent="0.3">
      <c r="A50" s="23" t="s">
        <v>55</v>
      </c>
    </row>
  </sheetData>
  <mergeCells count="1">
    <mergeCell ref="A2:G2"/>
  </mergeCells>
  <conditionalFormatting sqref="A33">
    <cfRule type="containsText" dxfId="440" priority="39" operator="containsText" text="North S.">
      <formula>NOT(ISERROR(SEARCH("North S.",A33)))</formula>
    </cfRule>
    <cfRule type="containsText" dxfId="439" priority="40" operator="containsText" text="NS">
      <formula>NOT(ISERROR(SEARCH("NS",A33)))</formula>
    </cfRule>
    <cfRule type="containsText" dxfId="438" priority="41" operator="containsText" text="Alante">
      <formula>NOT(ISERROR(SEARCH("Alante",A33)))</formula>
    </cfRule>
    <cfRule type="containsText" dxfId="437" priority="42" operator="containsText" text="Alante">
      <formula>NOT(ISERROR(SEARCH("Alante",A33)))</formula>
    </cfRule>
    <cfRule type="containsText" dxfId="436" priority="43" operator="containsText" text="Alumus">
      <formula>NOT(ISERROR(SEARCH("Alumus",A33)))</formula>
    </cfRule>
    <cfRule type="containsText" dxfId="435" priority="44" operator="containsText" text="Aleca">
      <formula>NOT(ISERROR(SEARCH("Aleca",A33)))</formula>
    </cfRule>
    <cfRule type="containsText" dxfId="434" priority="45" operator="containsText" text="M&amp;R">
      <formula>NOT(ISERROR(SEARCH("M&amp;R",A33)))</formula>
    </cfRule>
    <cfRule type="containsText" dxfId="433" priority="46" operator="containsText" text="Chandler">
      <formula>NOT(ISERROR(SEARCH("Chandler",A33)))</formula>
    </cfRule>
    <cfRule type="containsText" dxfId="432" priority="47" operator="containsText" text="Mesa">
      <formula>NOT(ISERROR(SEARCH("Mesa",A33)))</formula>
    </cfRule>
  </conditionalFormatting>
  <conditionalFormatting sqref="A34:A50">
    <cfRule type="containsText" dxfId="431" priority="18" operator="containsText" text="M&amp;R">
      <formula>NOT(ISERROR(SEARCH("M&amp;R",A34)))</formula>
    </cfRule>
    <cfRule type="containsText" dxfId="430" priority="19" operator="containsText" text="North S.">
      <formula>NOT(ISERROR(SEARCH("North S.",A34)))</formula>
    </cfRule>
    <cfRule type="containsText" dxfId="429" priority="20" operator="containsText" text="NS">
      <formula>NOT(ISERROR(SEARCH("NS",A34)))</formula>
    </cfRule>
    <cfRule type="containsText" dxfId="428" priority="21" operator="containsText" text="Alante">
      <formula>NOT(ISERROR(SEARCH("Alante",A34)))</formula>
    </cfRule>
    <cfRule type="containsText" dxfId="427" priority="22" operator="containsText" text="Alante">
      <formula>NOT(ISERROR(SEARCH("Alante",A34)))</formula>
    </cfRule>
    <cfRule type="containsText" dxfId="426" priority="23" operator="containsText" text="Alumus">
      <formula>NOT(ISERROR(SEARCH("Alumus",A34)))</formula>
    </cfRule>
    <cfRule type="containsText" dxfId="425" priority="24" operator="containsText" text="Aleca">
      <formula>NOT(ISERROR(SEARCH("Aleca",A34)))</formula>
    </cfRule>
    <cfRule type="containsText" dxfId="424" priority="26" operator="containsText" text="Chandler">
      <formula>NOT(ISERROR(SEARCH("Chandler",A34)))</formula>
    </cfRule>
    <cfRule type="containsText" dxfId="423" priority="27" operator="containsText" text="Mesa">
      <formula>NOT(ISERROR(SEARCH("Mesa",A34)))</formula>
    </cfRule>
  </conditionalFormatting>
  <conditionalFormatting sqref="A49">
    <cfRule type="containsText" dxfId="422" priority="4" operator="containsText" text="MKT: ">
      <formula>NOT(ISERROR(SEARCH("MKT: ",A49)))</formula>
    </cfRule>
    <cfRule type="containsText" dxfId="421" priority="7" operator="containsText" text="MKT: ">
      <formula>NOT(ISERROR(SEARCH("MKT: ",A49)))</formula>
    </cfRule>
    <cfRule type="containsText" dxfId="420" priority="9" operator="containsText" text="MKT:">
      <formula>NOT(ISERROR(SEARCH("MKT:",A49)))</formula>
    </cfRule>
  </conditionalFormatting>
  <conditionalFormatting sqref="A49:A50">
    <cfRule type="containsText" dxfId="419" priority="5" operator="containsText" text="REC: ">
      <formula>NOT(ISERROR(SEARCH("REC: ",A49)))</formula>
    </cfRule>
  </conditionalFormatting>
  <conditionalFormatting sqref="A50">
    <cfRule type="containsText" dxfId="418" priority="8" operator="containsText" text="REC:">
      <formula>NOT(ISERROR(SEARCH("REC:",A50)))</formula>
    </cfRule>
  </conditionalFormatting>
  <conditionalFormatting sqref="A2:XFD32 B33:XFD50 A51:XFD1048576">
    <cfRule type="containsText" dxfId="417" priority="57" operator="containsText" text="North S.">
      <formula>NOT(ISERROR(SEARCH("North S.",A2)))</formula>
    </cfRule>
    <cfRule type="containsText" dxfId="416" priority="58" operator="containsText" text="NS">
      <formula>NOT(ISERROR(SEARCH("NS",A2)))</formula>
    </cfRule>
    <cfRule type="containsText" dxfId="415" priority="59" operator="containsText" text="Alante">
      <formula>NOT(ISERROR(SEARCH("Alante",A2)))</formula>
    </cfRule>
    <cfRule type="containsText" dxfId="414" priority="60" operator="containsText" text="Alante">
      <formula>NOT(ISERROR(SEARCH("Alante",A2)))</formula>
    </cfRule>
    <cfRule type="containsText" dxfId="413" priority="61" operator="containsText" text="Alumus">
      <formula>NOT(ISERROR(SEARCH("Alumus",A2)))</formula>
    </cfRule>
    <cfRule type="containsText" dxfId="412" priority="62" operator="containsText" text="Aleca">
      <formula>NOT(ISERROR(SEARCH("Aleca",A2)))</formula>
    </cfRule>
    <cfRule type="containsText" dxfId="411" priority="63" operator="containsText" text="M&amp;R">
      <formula>NOT(ISERROR(SEARCH("M&amp;R",A2)))</formula>
    </cfRule>
    <cfRule type="containsText" dxfId="410" priority="64" operator="containsText" text="Chandler">
      <formula>NOT(ISERROR(SEARCH("Chandler",A2)))</formula>
    </cfRule>
    <cfRule type="containsText" dxfId="409" priority="65" operator="containsText" text="Mesa">
      <formula>NOT(ISERROR(SEARCH("Mesa",A2)))</formula>
    </cfRule>
  </conditionalFormatting>
  <conditionalFormatting sqref="A2:XFD1048576">
    <cfRule type="containsText" dxfId="408" priority="3" operator="containsText" text="MKT: ">
      <formula>NOT(ISERROR(SEARCH("MKT: ",A2)))</formula>
    </cfRule>
    <cfRule type="containsText" dxfId="407" priority="10" operator="containsText" text="RC: ">
      <formula>NOT(ISERROR(SEARCH("RC: ",A2)))</formula>
    </cfRule>
    <cfRule type="containsText" dxfId="406" priority="11" operator="containsText" text="LC: ">
      <formula>NOT(ISERROR(SEARCH("LC: ",A2)))</formula>
    </cfRule>
    <cfRule type="containsText" dxfId="405" priority="12" operator="containsText" text="Ridge: ">
      <formula>NOT(ISERROR(SEARCH("Ridge: ",A2)))</formula>
    </cfRule>
    <cfRule type="containsText" dxfId="404" priority="13" operator="containsText" text="NWL: ">
      <formula>NOT(ISERROR(SEARCH("NWL: ",A2)))</formula>
    </cfRule>
    <cfRule type="containsText" dxfId="403" priority="14" operator="containsText" text="CM: ">
      <formula>NOT(ISERROR(SEARCH("CM: ",A2)))</formula>
    </cfRule>
    <cfRule type="containsText" dxfId="402" priority="15" operator="containsText" text="C!: ">
      <formula>NOT(ISERROR(SEARCH("C!: ",A2)))</formula>
    </cfRule>
    <cfRule type="containsText" dxfId="401" priority="16" operator="containsText" text="CI: ">
      <formula>NOT(ISERROR(SEARCH("CI: ",A2)))</formula>
    </cfRule>
    <cfRule type="containsText" dxfId="400" priority="17" operator="containsText" text="Surprise">
      <formula>NOT(ISERROR(SEARCH("Surprise",A2)))</formula>
    </cfRule>
    <cfRule type="containsText" dxfId="399" priority="25" operator="containsText" text="M&amp;R">
      <formula>NOT(ISERROR(SEARCH("M&amp;R",A2)))</formula>
    </cfRule>
  </conditionalFormatting>
  <conditionalFormatting sqref="A1:XFD1">
    <cfRule type="containsText" dxfId="398" priority="1" operator="containsText" text="REC: ">
      <formula>NOT(ISERROR(SEARCH("REC: ",A1)))</formula>
    </cfRule>
    <cfRule type="containsText" dxfId="397" priority="2" operator="containsText" text="MKT: ">
      <formula>NOT(ISERROR(SEARCH("MKT: ",A1)))</formula>
    </cfRule>
  </conditionalFormatting>
  <hyperlinks>
    <hyperlink ref="F6" location="'MKT Events'!A254" display="MKT: CMSA AZ Annual Conference 7AM" xr:uid="{3F701760-62C0-47A0-8C90-719DD9019D97}"/>
    <hyperlink ref="F16" location="'MKT Events'!A296" display="MKT: OR ACHE Spring Conference" xr:uid="{99EED07E-8EE9-4BB3-86FF-AD4C24CC8320}"/>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DCE6-E027-4449-8301-64F434C3B7C5}">
  <sheetPr codeName="Sheet5"/>
  <dimension ref="A1:I49"/>
  <sheetViews>
    <sheetView workbookViewId="0">
      <selection sqref="A1:XFD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28</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v>1</v>
      </c>
      <c r="B5" s="3">
        <f t="shared" ref="B5:F5" si="0">A5+1</f>
        <v>2</v>
      </c>
      <c r="C5" s="3">
        <f t="shared" si="0"/>
        <v>3</v>
      </c>
      <c r="D5" s="3">
        <f t="shared" si="0"/>
        <v>4</v>
      </c>
      <c r="E5" s="3">
        <f t="shared" si="0"/>
        <v>5</v>
      </c>
      <c r="F5" s="3">
        <f t="shared" si="0"/>
        <v>6</v>
      </c>
      <c r="G5" s="3">
        <f>F5+1</f>
        <v>7</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8</v>
      </c>
      <c r="B10" s="3">
        <f t="shared" ref="B10:E10" si="1">A10+1</f>
        <v>9</v>
      </c>
      <c r="C10" s="3">
        <f t="shared" si="1"/>
        <v>10</v>
      </c>
      <c r="D10" s="3">
        <f t="shared" si="1"/>
        <v>11</v>
      </c>
      <c r="E10" s="3">
        <f t="shared" si="1"/>
        <v>12</v>
      </c>
      <c r="F10" s="3">
        <f>E10+1</f>
        <v>13</v>
      </c>
      <c r="G10" s="3">
        <f>F10+1</f>
        <v>14</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15</v>
      </c>
      <c r="B15" s="3">
        <f t="shared" ref="B15:E15" si="2">A15+1</f>
        <v>16</v>
      </c>
      <c r="C15" s="3">
        <f t="shared" si="2"/>
        <v>17</v>
      </c>
      <c r="D15" s="3">
        <f t="shared" si="2"/>
        <v>18</v>
      </c>
      <c r="E15" s="3">
        <f t="shared" si="2"/>
        <v>19</v>
      </c>
      <c r="F15" s="3">
        <f>E15+1</f>
        <v>20</v>
      </c>
      <c r="G15" s="3">
        <f>F15+1</f>
        <v>21</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22</v>
      </c>
      <c r="B20" s="3">
        <f t="shared" ref="B20:E20" si="3">A20+1</f>
        <v>23</v>
      </c>
      <c r="C20" s="3">
        <f t="shared" si="3"/>
        <v>24</v>
      </c>
      <c r="D20" s="3">
        <f t="shared" si="3"/>
        <v>25</v>
      </c>
      <c r="E20" s="3">
        <f t="shared" si="3"/>
        <v>26</v>
      </c>
      <c r="F20" s="3">
        <f>E20+1</f>
        <v>27</v>
      </c>
      <c r="G20" s="3">
        <f>F20+1</f>
        <v>28</v>
      </c>
    </row>
    <row r="21" spans="1:7" x14ac:dyDescent="0.3">
      <c r="A21" s="5"/>
      <c r="B21" s="7"/>
      <c r="C21" s="5"/>
      <c r="D21" s="5"/>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29</v>
      </c>
      <c r="B25" s="3">
        <f t="shared" ref="B25" si="4">A25+1</f>
        <v>30</v>
      </c>
    </row>
    <row r="26" spans="1:7" x14ac:dyDescent="0.3">
      <c r="A26" s="5"/>
      <c r="B26" s="5"/>
    </row>
    <row r="27" spans="1:7" x14ac:dyDescent="0.3">
      <c r="A27" s="5"/>
      <c r="B27" s="5"/>
    </row>
    <row r="28" spans="1:7" x14ac:dyDescent="0.3">
      <c r="A28" s="5"/>
      <c r="B28" s="5"/>
    </row>
    <row r="29" spans="1:7" ht="19.5" thickBot="1" x14ac:dyDescent="0.35">
      <c r="A29" s="6"/>
      <c r="B29" s="6"/>
    </row>
    <row r="32" spans="1:7" ht="19.5" thickBot="1" x14ac:dyDescent="0.35"/>
    <row r="33" spans="1:1" ht="19.5" thickBot="1" x14ac:dyDescent="0.35">
      <c r="A33" s="8" t="s">
        <v>8</v>
      </c>
    </row>
    <row r="34" spans="1:1" ht="19.5" thickBot="1" x14ac:dyDescent="0.35">
      <c r="A34" s="8" t="s">
        <v>9</v>
      </c>
    </row>
    <row r="35" spans="1:1" ht="19.5" thickBot="1" x14ac:dyDescent="0.35">
      <c r="A35" s="8" t="s">
        <v>10</v>
      </c>
    </row>
    <row r="36" spans="1:1" x14ac:dyDescent="0.3">
      <c r="A36" s="9" t="s">
        <v>12</v>
      </c>
    </row>
    <row r="37" spans="1:1" ht="37.5" x14ac:dyDescent="0.3">
      <c r="A37" s="7" t="s">
        <v>35</v>
      </c>
    </row>
    <row r="38" spans="1:1" x14ac:dyDescent="0.3">
      <c r="A38" s="5" t="s">
        <v>13</v>
      </c>
    </row>
    <row r="39" spans="1:1" x14ac:dyDescent="0.3">
      <c r="A39" s="5" t="s">
        <v>14</v>
      </c>
    </row>
    <row r="40" spans="1:1" ht="19.5" thickBot="1" x14ac:dyDescent="0.35">
      <c r="A40" s="6" t="s">
        <v>15</v>
      </c>
    </row>
    <row r="41" spans="1:1" x14ac:dyDescent="0.3">
      <c r="A41" s="9" t="s">
        <v>11</v>
      </c>
    </row>
    <row r="42" spans="1:1" x14ac:dyDescent="0.3">
      <c r="A42" s="5" t="s">
        <v>36</v>
      </c>
    </row>
    <row r="43" spans="1:1" x14ac:dyDescent="0.3">
      <c r="A43" s="5" t="s">
        <v>37</v>
      </c>
    </row>
    <row r="44" spans="1:1" ht="37.5" x14ac:dyDescent="0.3">
      <c r="A44" s="7" t="s">
        <v>38</v>
      </c>
    </row>
    <row r="45" spans="1:1" x14ac:dyDescent="0.3">
      <c r="A45" s="5" t="s">
        <v>41</v>
      </c>
    </row>
    <row r="46" spans="1:1" x14ac:dyDescent="0.3">
      <c r="A46" s="5" t="s">
        <v>39</v>
      </c>
    </row>
    <row r="47" spans="1:1" ht="19.5" thickBot="1" x14ac:dyDescent="0.35">
      <c r="A47" s="6" t="s">
        <v>40</v>
      </c>
    </row>
    <row r="48" spans="1:1" ht="19.5" thickBot="1" x14ac:dyDescent="0.35">
      <c r="A48" s="22" t="s">
        <v>54</v>
      </c>
    </row>
    <row r="49" spans="1:1" x14ac:dyDescent="0.3">
      <c r="A49" s="23" t="s">
        <v>55</v>
      </c>
    </row>
  </sheetData>
  <mergeCells count="1">
    <mergeCell ref="A2:G2"/>
  </mergeCells>
  <conditionalFormatting sqref="A32">
    <cfRule type="containsText" dxfId="396" priority="40" operator="containsText" text="North S.">
      <formula>NOT(ISERROR(SEARCH("North S.",A32)))</formula>
    </cfRule>
    <cfRule type="containsText" dxfId="395" priority="41" operator="containsText" text="NS">
      <formula>NOT(ISERROR(SEARCH("NS",A32)))</formula>
    </cfRule>
    <cfRule type="containsText" dxfId="394" priority="42" operator="containsText" text="Alante">
      <formula>NOT(ISERROR(SEARCH("Alante",A32)))</formula>
    </cfRule>
    <cfRule type="containsText" dxfId="393" priority="43" operator="containsText" text="Alante">
      <formula>NOT(ISERROR(SEARCH("Alante",A32)))</formula>
    </cfRule>
    <cfRule type="containsText" dxfId="392" priority="44" operator="containsText" text="Alumus">
      <formula>NOT(ISERROR(SEARCH("Alumus",A32)))</formula>
    </cfRule>
    <cfRule type="containsText" dxfId="391" priority="45" operator="containsText" text="Aleca">
      <formula>NOT(ISERROR(SEARCH("Aleca",A32)))</formula>
    </cfRule>
    <cfRule type="containsText" dxfId="390" priority="46" operator="containsText" text="M&amp;R">
      <formula>NOT(ISERROR(SEARCH("M&amp;R",A32)))</formula>
    </cfRule>
    <cfRule type="containsText" dxfId="389" priority="47" operator="containsText" text="Chandler">
      <formula>NOT(ISERROR(SEARCH("Chandler",A32)))</formula>
    </cfRule>
    <cfRule type="containsText" dxfId="388" priority="48" operator="containsText" text="Mesa">
      <formula>NOT(ISERROR(SEARCH("Mesa",A32)))</formula>
    </cfRule>
  </conditionalFormatting>
  <conditionalFormatting sqref="A33:A49">
    <cfRule type="containsText" dxfId="387" priority="19" operator="containsText" text="M&amp;R">
      <formula>NOT(ISERROR(SEARCH("M&amp;R",A33)))</formula>
    </cfRule>
    <cfRule type="containsText" dxfId="386" priority="20" operator="containsText" text="North S.">
      <formula>NOT(ISERROR(SEARCH("North S.",A33)))</formula>
    </cfRule>
    <cfRule type="containsText" dxfId="385" priority="21" operator="containsText" text="NS">
      <formula>NOT(ISERROR(SEARCH("NS",A33)))</formula>
    </cfRule>
    <cfRule type="containsText" dxfId="384" priority="22" operator="containsText" text="Alante">
      <formula>NOT(ISERROR(SEARCH("Alante",A33)))</formula>
    </cfRule>
    <cfRule type="containsText" dxfId="383" priority="23" operator="containsText" text="Alante">
      <formula>NOT(ISERROR(SEARCH("Alante",A33)))</formula>
    </cfRule>
    <cfRule type="containsText" dxfId="382" priority="24" operator="containsText" text="Alumus">
      <formula>NOT(ISERROR(SEARCH("Alumus",A33)))</formula>
    </cfRule>
    <cfRule type="containsText" dxfId="381" priority="25" operator="containsText" text="Aleca">
      <formula>NOT(ISERROR(SEARCH("Aleca",A33)))</formula>
    </cfRule>
    <cfRule type="containsText" dxfId="380" priority="27" operator="containsText" text="Chandler">
      <formula>NOT(ISERROR(SEARCH("Chandler",A33)))</formula>
    </cfRule>
    <cfRule type="containsText" dxfId="379" priority="28" operator="containsText" text="Mesa">
      <formula>NOT(ISERROR(SEARCH("Mesa",A33)))</formula>
    </cfRule>
  </conditionalFormatting>
  <conditionalFormatting sqref="A48">
    <cfRule type="containsText" dxfId="378" priority="5" operator="containsText" text="MKT: ">
      <formula>NOT(ISERROR(SEARCH("MKT: ",A48)))</formula>
    </cfRule>
    <cfRule type="containsText" dxfId="377" priority="8" operator="containsText" text="MKT: ">
      <formula>NOT(ISERROR(SEARCH("MKT: ",A48)))</formula>
    </cfRule>
    <cfRule type="containsText" dxfId="376" priority="10" operator="containsText" text="MKT:">
      <formula>NOT(ISERROR(SEARCH("MKT:",A48)))</formula>
    </cfRule>
  </conditionalFormatting>
  <conditionalFormatting sqref="A48:A49">
    <cfRule type="containsText" dxfId="375" priority="6" operator="containsText" text="REC: ">
      <formula>NOT(ISERROR(SEARCH("REC: ",A48)))</formula>
    </cfRule>
  </conditionalFormatting>
  <conditionalFormatting sqref="A49">
    <cfRule type="containsText" dxfId="374" priority="9" operator="containsText" text="REC:">
      <formula>NOT(ISERROR(SEARCH("REC:",A49)))</formula>
    </cfRule>
  </conditionalFormatting>
  <conditionalFormatting sqref="A2:XFD31 B32:XFD49 A50:XFD1048576">
    <cfRule type="containsText" dxfId="373" priority="58" operator="containsText" text="North S.">
      <formula>NOT(ISERROR(SEARCH("North S.",A2)))</formula>
    </cfRule>
    <cfRule type="containsText" dxfId="372" priority="59" operator="containsText" text="NS">
      <formula>NOT(ISERROR(SEARCH("NS",A2)))</formula>
    </cfRule>
    <cfRule type="containsText" dxfId="371" priority="60" operator="containsText" text="Alante">
      <formula>NOT(ISERROR(SEARCH("Alante",A2)))</formula>
    </cfRule>
    <cfRule type="containsText" dxfId="370" priority="61" operator="containsText" text="Alante">
      <formula>NOT(ISERROR(SEARCH("Alante",A2)))</formula>
    </cfRule>
    <cfRule type="containsText" dxfId="369" priority="62" operator="containsText" text="Alumus">
      <formula>NOT(ISERROR(SEARCH("Alumus",A2)))</formula>
    </cfRule>
    <cfRule type="containsText" dxfId="368" priority="63" operator="containsText" text="Aleca">
      <formula>NOT(ISERROR(SEARCH("Aleca",A2)))</formula>
    </cfRule>
    <cfRule type="containsText" dxfId="367" priority="64" operator="containsText" text="M&amp;R">
      <formula>NOT(ISERROR(SEARCH("M&amp;R",A2)))</formula>
    </cfRule>
    <cfRule type="containsText" dxfId="366" priority="65" operator="containsText" text="Chandler">
      <formula>NOT(ISERROR(SEARCH("Chandler",A2)))</formula>
    </cfRule>
    <cfRule type="containsText" dxfId="365" priority="66" operator="containsText" text="Mesa">
      <formula>NOT(ISERROR(SEARCH("Mesa",A2)))</formula>
    </cfRule>
  </conditionalFormatting>
  <conditionalFormatting sqref="A2:XFD1048576">
    <cfRule type="containsText" dxfId="364" priority="3" operator="containsText" text="REC: ">
      <formula>NOT(ISERROR(SEARCH("REC: ",A2)))</formula>
    </cfRule>
    <cfRule type="containsText" dxfId="363" priority="4" operator="containsText" text="MKT: ">
      <formula>NOT(ISERROR(SEARCH("MKT: ",A2)))</formula>
    </cfRule>
    <cfRule type="containsText" dxfId="362" priority="11" operator="containsText" text="RC: ">
      <formula>NOT(ISERROR(SEARCH("RC: ",A2)))</formula>
    </cfRule>
    <cfRule type="containsText" dxfId="361" priority="12" operator="containsText" text="LC: ">
      <formula>NOT(ISERROR(SEARCH("LC: ",A2)))</formula>
    </cfRule>
    <cfRule type="containsText" dxfId="360" priority="13" operator="containsText" text="Ridge: ">
      <formula>NOT(ISERROR(SEARCH("Ridge: ",A2)))</formula>
    </cfRule>
    <cfRule type="containsText" dxfId="359" priority="14" operator="containsText" text="NWL: ">
      <formula>NOT(ISERROR(SEARCH("NWL: ",A2)))</formula>
    </cfRule>
    <cfRule type="containsText" dxfId="358" priority="15" operator="containsText" text="CM: ">
      <formula>NOT(ISERROR(SEARCH("CM: ",A2)))</formula>
    </cfRule>
    <cfRule type="containsText" dxfId="357" priority="16" operator="containsText" text="C!: ">
      <formula>NOT(ISERROR(SEARCH("C!: ",A2)))</formula>
    </cfRule>
    <cfRule type="containsText" dxfId="356" priority="17" operator="containsText" text="CI: ">
      <formula>NOT(ISERROR(SEARCH("CI: ",A2)))</formula>
    </cfRule>
    <cfRule type="containsText" dxfId="355" priority="18" operator="containsText" text="Surprise">
      <formula>NOT(ISERROR(SEARCH("Surprise",A2)))</formula>
    </cfRule>
    <cfRule type="containsText" dxfId="354" priority="26" operator="containsText" text="M&amp;R">
      <formula>NOT(ISERROR(SEARCH("M&amp;R",A2)))</formula>
    </cfRule>
  </conditionalFormatting>
  <conditionalFormatting sqref="A1:XFD1">
    <cfRule type="containsText" dxfId="353" priority="1" operator="containsText" text="REC: ">
      <formula>NOT(ISERROR(SEARCH("REC: ",A1)))</formula>
    </cfRule>
    <cfRule type="containsText" dxfId="352" priority="2" operator="containsText" text="MKT: ">
      <formula>NOT(ISERROR(SEARCH("MKT: ",A1)))</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1C7-C973-47F2-8CDD-9CFE5C80B622}">
  <sheetPr codeName="Sheet6"/>
  <dimension ref="A1:I50"/>
  <sheetViews>
    <sheetView workbookViewId="0">
      <selection sqref="A1:XFD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29</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f t="shared" ref="C5:F5" si="0">B5+1</f>
        <v>1</v>
      </c>
      <c r="D5" s="3">
        <f t="shared" si="0"/>
        <v>2</v>
      </c>
      <c r="E5" s="3">
        <f t="shared" si="0"/>
        <v>3</v>
      </c>
      <c r="F5" s="3">
        <f t="shared" si="0"/>
        <v>4</v>
      </c>
      <c r="G5" s="3">
        <f>F5+1</f>
        <v>5</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6</v>
      </c>
      <c r="B10" s="3">
        <f t="shared" ref="B10:E10" si="1">A10+1</f>
        <v>7</v>
      </c>
      <c r="C10" s="3">
        <f t="shared" si="1"/>
        <v>8</v>
      </c>
      <c r="D10" s="3">
        <f t="shared" si="1"/>
        <v>9</v>
      </c>
      <c r="E10" s="3">
        <f t="shared" si="1"/>
        <v>10</v>
      </c>
      <c r="F10" s="3">
        <f>E10+1</f>
        <v>11</v>
      </c>
      <c r="G10" s="3">
        <f>F10+1</f>
        <v>12</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13</v>
      </c>
      <c r="B15" s="3">
        <f t="shared" ref="B15:E15" si="2">A15+1</f>
        <v>14</v>
      </c>
      <c r="C15" s="3">
        <f t="shared" si="2"/>
        <v>15</v>
      </c>
      <c r="D15" s="3">
        <f t="shared" si="2"/>
        <v>16</v>
      </c>
      <c r="E15" s="3">
        <f t="shared" si="2"/>
        <v>17</v>
      </c>
      <c r="F15" s="3">
        <f>E15+1</f>
        <v>18</v>
      </c>
      <c r="G15" s="3">
        <f>F15+1</f>
        <v>19</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20</v>
      </c>
      <c r="B20" s="3">
        <f t="shared" ref="B20:E20" si="3">A20+1</f>
        <v>21</v>
      </c>
      <c r="C20" s="3">
        <f t="shared" si="3"/>
        <v>22</v>
      </c>
      <c r="D20" s="3">
        <f t="shared" si="3"/>
        <v>23</v>
      </c>
      <c r="E20" s="3">
        <f t="shared" si="3"/>
        <v>24</v>
      </c>
      <c r="F20" s="3">
        <f>E20+1</f>
        <v>25</v>
      </c>
      <c r="G20" s="3">
        <f>F20+1</f>
        <v>26</v>
      </c>
    </row>
    <row r="21" spans="1:7" x14ac:dyDescent="0.3">
      <c r="A21" s="5"/>
      <c r="B21" s="7"/>
      <c r="C21" s="5"/>
      <c r="D21" s="5"/>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27</v>
      </c>
      <c r="B25" s="3">
        <f t="shared" ref="B25:D25" si="4">A25+1</f>
        <v>28</v>
      </c>
      <c r="C25" s="3">
        <f t="shared" si="4"/>
        <v>29</v>
      </c>
      <c r="D25" s="3">
        <f t="shared" si="4"/>
        <v>30</v>
      </c>
    </row>
    <row r="26" spans="1:7" x14ac:dyDescent="0.3">
      <c r="A26" s="5"/>
      <c r="B26" s="5"/>
      <c r="C26" s="5"/>
      <c r="D26" s="5"/>
    </row>
    <row r="27" spans="1:7" x14ac:dyDescent="0.3">
      <c r="A27" s="5"/>
      <c r="B27" s="5"/>
      <c r="C27" s="5"/>
      <c r="D27" s="5"/>
    </row>
    <row r="28" spans="1:7" x14ac:dyDescent="0.3">
      <c r="A28" s="5"/>
      <c r="B28" s="5"/>
      <c r="C28" s="5"/>
      <c r="D28" s="5"/>
    </row>
    <row r="29" spans="1:7" ht="19.5" thickBot="1" x14ac:dyDescent="0.35">
      <c r="A29" s="6"/>
      <c r="B29" s="6"/>
      <c r="C29" s="6"/>
      <c r="D29" s="6"/>
    </row>
    <row r="33" spans="1:1" ht="19.5" thickBot="1" x14ac:dyDescent="0.35"/>
    <row r="34" spans="1:1" ht="19.5" thickBot="1" x14ac:dyDescent="0.35">
      <c r="A34" s="8" t="s">
        <v>8</v>
      </c>
    </row>
    <row r="35" spans="1:1" ht="19.5" thickBot="1" x14ac:dyDescent="0.35">
      <c r="A35" s="8" t="s">
        <v>9</v>
      </c>
    </row>
    <row r="36" spans="1:1" ht="19.5" thickBot="1" x14ac:dyDescent="0.35">
      <c r="A36" s="8" t="s">
        <v>10</v>
      </c>
    </row>
    <row r="37" spans="1:1" x14ac:dyDescent="0.3">
      <c r="A37" s="9" t="s">
        <v>12</v>
      </c>
    </row>
    <row r="38" spans="1:1" ht="37.5" x14ac:dyDescent="0.3">
      <c r="A38" s="7" t="s">
        <v>35</v>
      </c>
    </row>
    <row r="39" spans="1:1" x14ac:dyDescent="0.3">
      <c r="A39" s="5" t="s">
        <v>13</v>
      </c>
    </row>
    <row r="40" spans="1:1" x14ac:dyDescent="0.3">
      <c r="A40" s="5" t="s">
        <v>14</v>
      </c>
    </row>
    <row r="41" spans="1:1" ht="19.5" thickBot="1" x14ac:dyDescent="0.35">
      <c r="A41" s="6" t="s">
        <v>15</v>
      </c>
    </row>
    <row r="42" spans="1:1" x14ac:dyDescent="0.3">
      <c r="A42" s="9" t="s">
        <v>11</v>
      </c>
    </row>
    <row r="43" spans="1:1" x14ac:dyDescent="0.3">
      <c r="A43" s="5" t="s">
        <v>36</v>
      </c>
    </row>
    <row r="44" spans="1:1" x14ac:dyDescent="0.3">
      <c r="A44" s="5" t="s">
        <v>37</v>
      </c>
    </row>
    <row r="45" spans="1:1" ht="37.5" x14ac:dyDescent="0.3">
      <c r="A45" s="7" t="s">
        <v>38</v>
      </c>
    </row>
    <row r="46" spans="1:1" x14ac:dyDescent="0.3">
      <c r="A46" s="5" t="s">
        <v>41</v>
      </c>
    </row>
    <row r="47" spans="1:1" x14ac:dyDescent="0.3">
      <c r="A47" s="5" t="s">
        <v>39</v>
      </c>
    </row>
    <row r="48" spans="1:1" ht="19.5" thickBot="1" x14ac:dyDescent="0.35">
      <c r="A48" s="6" t="s">
        <v>40</v>
      </c>
    </row>
    <row r="49" spans="1:1" ht="19.5" thickBot="1" x14ac:dyDescent="0.35">
      <c r="A49" s="22" t="s">
        <v>54</v>
      </c>
    </row>
    <row r="50" spans="1:1" x14ac:dyDescent="0.3">
      <c r="A50" s="23" t="s">
        <v>55</v>
      </c>
    </row>
  </sheetData>
  <mergeCells count="1">
    <mergeCell ref="A2:G2"/>
  </mergeCells>
  <conditionalFormatting sqref="A33">
    <cfRule type="containsText" dxfId="351" priority="40" operator="containsText" text="North S.">
      <formula>NOT(ISERROR(SEARCH("North S.",A33)))</formula>
    </cfRule>
    <cfRule type="containsText" dxfId="350" priority="41" operator="containsText" text="NS">
      <formula>NOT(ISERROR(SEARCH("NS",A33)))</formula>
    </cfRule>
    <cfRule type="containsText" dxfId="349" priority="42" operator="containsText" text="Alante">
      <formula>NOT(ISERROR(SEARCH("Alante",A33)))</formula>
    </cfRule>
    <cfRule type="containsText" dxfId="348" priority="43" operator="containsText" text="Alante">
      <formula>NOT(ISERROR(SEARCH("Alante",A33)))</formula>
    </cfRule>
    <cfRule type="containsText" dxfId="347" priority="44" operator="containsText" text="Alumus">
      <formula>NOT(ISERROR(SEARCH("Alumus",A33)))</formula>
    </cfRule>
    <cfRule type="containsText" dxfId="346" priority="45" operator="containsText" text="Aleca">
      <formula>NOT(ISERROR(SEARCH("Aleca",A33)))</formula>
    </cfRule>
    <cfRule type="containsText" dxfId="345" priority="46" operator="containsText" text="M&amp;R">
      <formula>NOT(ISERROR(SEARCH("M&amp;R",A33)))</formula>
    </cfRule>
    <cfRule type="containsText" dxfId="344" priority="47" operator="containsText" text="Chandler">
      <formula>NOT(ISERROR(SEARCH("Chandler",A33)))</formula>
    </cfRule>
    <cfRule type="containsText" dxfId="343" priority="48" operator="containsText" text="Mesa">
      <formula>NOT(ISERROR(SEARCH("Mesa",A33)))</formula>
    </cfRule>
  </conditionalFormatting>
  <conditionalFormatting sqref="A34:A50">
    <cfRule type="containsText" dxfId="342" priority="19" operator="containsText" text="M&amp;R">
      <formula>NOT(ISERROR(SEARCH("M&amp;R",A34)))</formula>
    </cfRule>
    <cfRule type="containsText" dxfId="341" priority="20" operator="containsText" text="North S.">
      <formula>NOT(ISERROR(SEARCH("North S.",A34)))</formula>
    </cfRule>
    <cfRule type="containsText" dxfId="340" priority="21" operator="containsText" text="NS">
      <formula>NOT(ISERROR(SEARCH("NS",A34)))</formula>
    </cfRule>
    <cfRule type="containsText" dxfId="339" priority="22" operator="containsText" text="Alante">
      <formula>NOT(ISERROR(SEARCH("Alante",A34)))</formula>
    </cfRule>
    <cfRule type="containsText" dxfId="338" priority="23" operator="containsText" text="Alante">
      <formula>NOT(ISERROR(SEARCH("Alante",A34)))</formula>
    </cfRule>
    <cfRule type="containsText" dxfId="337" priority="24" operator="containsText" text="Alumus">
      <formula>NOT(ISERROR(SEARCH("Alumus",A34)))</formula>
    </cfRule>
    <cfRule type="containsText" dxfId="336" priority="25" operator="containsText" text="Aleca">
      <formula>NOT(ISERROR(SEARCH("Aleca",A34)))</formula>
    </cfRule>
    <cfRule type="containsText" dxfId="335" priority="27" operator="containsText" text="Chandler">
      <formula>NOT(ISERROR(SEARCH("Chandler",A34)))</formula>
    </cfRule>
    <cfRule type="containsText" dxfId="334" priority="28" operator="containsText" text="Mesa">
      <formula>NOT(ISERROR(SEARCH("Mesa",A34)))</formula>
    </cfRule>
  </conditionalFormatting>
  <conditionalFormatting sqref="A49">
    <cfRule type="containsText" dxfId="333" priority="5" operator="containsText" text="MKT: ">
      <formula>NOT(ISERROR(SEARCH("MKT: ",A49)))</formula>
    </cfRule>
    <cfRule type="containsText" dxfId="332" priority="8" operator="containsText" text="MKT: ">
      <formula>NOT(ISERROR(SEARCH("MKT: ",A49)))</formula>
    </cfRule>
    <cfRule type="containsText" dxfId="331" priority="10" operator="containsText" text="MKT:">
      <formula>NOT(ISERROR(SEARCH("MKT:",A49)))</formula>
    </cfRule>
  </conditionalFormatting>
  <conditionalFormatting sqref="A49:A50">
    <cfRule type="containsText" dxfId="330" priority="6" operator="containsText" text="REC: ">
      <formula>NOT(ISERROR(SEARCH("REC: ",A49)))</formula>
    </cfRule>
  </conditionalFormatting>
  <conditionalFormatting sqref="A50">
    <cfRule type="containsText" dxfId="329" priority="9" operator="containsText" text="REC:">
      <formula>NOT(ISERROR(SEARCH("REC:",A50)))</formula>
    </cfRule>
  </conditionalFormatting>
  <conditionalFormatting sqref="A2:XFD32 B33:XFD50 A51:XFD1048576">
    <cfRule type="containsText" dxfId="328" priority="58" operator="containsText" text="North S.">
      <formula>NOT(ISERROR(SEARCH("North S.",A2)))</formula>
    </cfRule>
    <cfRule type="containsText" dxfId="327" priority="59" operator="containsText" text="NS">
      <formula>NOT(ISERROR(SEARCH("NS",A2)))</formula>
    </cfRule>
    <cfRule type="containsText" dxfId="326" priority="60" operator="containsText" text="Alante">
      <formula>NOT(ISERROR(SEARCH("Alante",A2)))</formula>
    </cfRule>
    <cfRule type="containsText" dxfId="325" priority="61" operator="containsText" text="Alante">
      <formula>NOT(ISERROR(SEARCH("Alante",A2)))</formula>
    </cfRule>
    <cfRule type="containsText" dxfId="324" priority="62" operator="containsText" text="Alumus">
      <formula>NOT(ISERROR(SEARCH("Alumus",A2)))</formula>
    </cfRule>
    <cfRule type="containsText" dxfId="323" priority="63" operator="containsText" text="Aleca">
      <formula>NOT(ISERROR(SEARCH("Aleca",A2)))</formula>
    </cfRule>
    <cfRule type="containsText" dxfId="322" priority="64" operator="containsText" text="M&amp;R">
      <formula>NOT(ISERROR(SEARCH("M&amp;R",A2)))</formula>
    </cfRule>
    <cfRule type="containsText" dxfId="321" priority="65" operator="containsText" text="Chandler">
      <formula>NOT(ISERROR(SEARCH("Chandler",A2)))</formula>
    </cfRule>
    <cfRule type="containsText" dxfId="320" priority="66" operator="containsText" text="Mesa">
      <formula>NOT(ISERROR(SEARCH("Mesa",A2)))</formula>
    </cfRule>
  </conditionalFormatting>
  <conditionalFormatting sqref="A2:XFD1048576">
    <cfRule type="containsText" dxfId="319" priority="3" operator="containsText" text="REC: ">
      <formula>NOT(ISERROR(SEARCH("REC: ",A2)))</formula>
    </cfRule>
    <cfRule type="containsText" dxfId="318" priority="4" operator="containsText" text="MKT: ">
      <formula>NOT(ISERROR(SEARCH("MKT: ",A2)))</formula>
    </cfRule>
    <cfRule type="containsText" dxfId="317" priority="11" operator="containsText" text="RC: ">
      <formula>NOT(ISERROR(SEARCH("RC: ",A2)))</formula>
    </cfRule>
    <cfRule type="containsText" dxfId="316" priority="12" operator="containsText" text="LC: ">
      <formula>NOT(ISERROR(SEARCH("LC: ",A2)))</formula>
    </cfRule>
    <cfRule type="containsText" dxfId="315" priority="13" operator="containsText" text="Ridge: ">
      <formula>NOT(ISERROR(SEARCH("Ridge: ",A2)))</formula>
    </cfRule>
    <cfRule type="containsText" dxfId="314" priority="14" operator="containsText" text="NWL: ">
      <formula>NOT(ISERROR(SEARCH("NWL: ",A2)))</formula>
    </cfRule>
    <cfRule type="containsText" dxfId="313" priority="15" operator="containsText" text="CM: ">
      <formula>NOT(ISERROR(SEARCH("CM: ",A2)))</formula>
    </cfRule>
    <cfRule type="containsText" dxfId="312" priority="16" operator="containsText" text="C!: ">
      <formula>NOT(ISERROR(SEARCH("C!: ",A2)))</formula>
    </cfRule>
    <cfRule type="containsText" dxfId="311" priority="17" operator="containsText" text="CI: ">
      <formula>NOT(ISERROR(SEARCH("CI: ",A2)))</formula>
    </cfRule>
    <cfRule type="containsText" dxfId="310" priority="18" operator="containsText" text="Surprise">
      <formula>NOT(ISERROR(SEARCH("Surprise",A2)))</formula>
    </cfRule>
    <cfRule type="containsText" dxfId="309" priority="26" operator="containsText" text="M&amp;R">
      <formula>NOT(ISERROR(SEARCH("M&amp;R",A2)))</formula>
    </cfRule>
  </conditionalFormatting>
  <conditionalFormatting sqref="A1:XFD1">
    <cfRule type="containsText" dxfId="308" priority="1" operator="containsText" text="REC: ">
      <formula>NOT(ISERROR(SEARCH("REC: ",A1)))</formula>
    </cfRule>
    <cfRule type="containsText" dxfId="307" priority="2" operator="containsText" text="MKT: ">
      <formula>NOT(ISERROR(SEARCH("MKT: ",A1)))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FFDA-1EA9-44E4-BC1B-FC95C5A32887}">
  <sheetPr codeName="Sheet7"/>
  <dimension ref="A1:I55"/>
  <sheetViews>
    <sheetView workbookViewId="0">
      <selection sqref="A1:XFD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30</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c r="D5" s="3"/>
      <c r="E5" s="3"/>
      <c r="F5" s="3">
        <f>E5+1</f>
        <v>1</v>
      </c>
      <c r="G5" s="3">
        <f>F5+1</f>
        <v>2</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3</v>
      </c>
      <c r="B10" s="3">
        <f t="shared" ref="B10:E10" si="0">A10+1</f>
        <v>4</v>
      </c>
      <c r="C10" s="3">
        <f t="shared" si="0"/>
        <v>5</v>
      </c>
      <c r="D10" s="3">
        <f t="shared" si="0"/>
        <v>6</v>
      </c>
      <c r="E10" s="3">
        <f t="shared" si="0"/>
        <v>7</v>
      </c>
      <c r="F10" s="3">
        <f>E10+1</f>
        <v>8</v>
      </c>
      <c r="G10" s="3">
        <f>F10+1</f>
        <v>9</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10</v>
      </c>
      <c r="B15" s="3">
        <f t="shared" ref="B15:E15" si="1">A15+1</f>
        <v>11</v>
      </c>
      <c r="C15" s="3">
        <f t="shared" si="1"/>
        <v>12</v>
      </c>
      <c r="D15" s="3">
        <f t="shared" si="1"/>
        <v>13</v>
      </c>
      <c r="E15" s="3">
        <f t="shared" si="1"/>
        <v>14</v>
      </c>
      <c r="F15" s="3">
        <f>E15+1</f>
        <v>15</v>
      </c>
      <c r="G15" s="3">
        <f>F15+1</f>
        <v>16</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17</v>
      </c>
      <c r="B20" s="3">
        <f t="shared" ref="B20:E20" si="2">A20+1</f>
        <v>18</v>
      </c>
      <c r="C20" s="3">
        <f t="shared" si="2"/>
        <v>19</v>
      </c>
      <c r="D20" s="3">
        <f t="shared" si="2"/>
        <v>20</v>
      </c>
      <c r="E20" s="3">
        <f t="shared" si="2"/>
        <v>21</v>
      </c>
      <c r="F20" s="3">
        <f>E20+1</f>
        <v>22</v>
      </c>
      <c r="G20" s="3">
        <f>F20+1</f>
        <v>23</v>
      </c>
    </row>
    <row r="21" spans="1:7" x14ac:dyDescent="0.3">
      <c r="A21" s="5"/>
      <c r="B21" s="7"/>
      <c r="C21" s="5"/>
      <c r="D21" s="5"/>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24</v>
      </c>
      <c r="B25" s="3">
        <f t="shared" ref="B25:E25" si="3">A25+1</f>
        <v>25</v>
      </c>
      <c r="C25" s="3">
        <f t="shared" si="3"/>
        <v>26</v>
      </c>
      <c r="D25" s="3">
        <f t="shared" si="3"/>
        <v>27</v>
      </c>
      <c r="E25" s="3">
        <f t="shared" si="3"/>
        <v>28</v>
      </c>
      <c r="F25" s="3">
        <f>E25+1</f>
        <v>29</v>
      </c>
      <c r="G25" s="3">
        <f>F25+1</f>
        <v>30</v>
      </c>
    </row>
    <row r="26" spans="1:7" x14ac:dyDescent="0.3">
      <c r="A26" s="5"/>
      <c r="B26" s="5"/>
      <c r="C26" s="5"/>
      <c r="D26" s="5"/>
      <c r="E26" s="7"/>
      <c r="F26" s="5"/>
      <c r="G26" s="7"/>
    </row>
    <row r="27" spans="1:7" x14ac:dyDescent="0.3">
      <c r="A27" s="5"/>
      <c r="B27" s="5"/>
      <c r="C27" s="5"/>
      <c r="D27" s="5"/>
      <c r="E27" s="7"/>
      <c r="F27" s="5"/>
      <c r="G27" s="5"/>
    </row>
    <row r="28" spans="1:7" x14ac:dyDescent="0.3">
      <c r="A28" s="5"/>
      <c r="B28" s="5"/>
      <c r="C28" s="5"/>
      <c r="D28" s="5"/>
      <c r="E28" s="5"/>
      <c r="F28" s="5"/>
      <c r="G28" s="5"/>
    </row>
    <row r="29" spans="1:7" ht="19.5" thickBot="1" x14ac:dyDescent="0.35">
      <c r="A29" s="6"/>
      <c r="B29" s="6"/>
      <c r="C29" s="6"/>
      <c r="D29" s="6"/>
      <c r="E29" s="6"/>
      <c r="F29" s="6"/>
      <c r="G29" s="6"/>
    </row>
    <row r="30" spans="1:7" x14ac:dyDescent="0.3">
      <c r="A30" s="3">
        <f>G25+1</f>
        <v>31</v>
      </c>
    </row>
    <row r="31" spans="1:7" x14ac:dyDescent="0.3">
      <c r="A31" s="5"/>
    </row>
    <row r="32" spans="1:7" x14ac:dyDescent="0.3">
      <c r="A32" s="5"/>
    </row>
    <row r="33" spans="1:1" x14ac:dyDescent="0.3">
      <c r="A33" s="5"/>
    </row>
    <row r="34" spans="1:1" ht="19.5" thickBot="1" x14ac:dyDescent="0.35">
      <c r="A34" s="6"/>
    </row>
    <row r="38" spans="1:1" ht="19.5" thickBot="1" x14ac:dyDescent="0.35"/>
    <row r="39" spans="1:1" ht="19.5" thickBot="1" x14ac:dyDescent="0.35">
      <c r="A39" s="8" t="s">
        <v>8</v>
      </c>
    </row>
    <row r="40" spans="1:1" ht="19.5" thickBot="1" x14ac:dyDescent="0.35">
      <c r="A40" s="8" t="s">
        <v>9</v>
      </c>
    </row>
    <row r="41" spans="1:1" ht="19.5" thickBot="1" x14ac:dyDescent="0.35">
      <c r="A41" s="8" t="s">
        <v>10</v>
      </c>
    </row>
    <row r="42" spans="1:1" x14ac:dyDescent="0.3">
      <c r="A42" s="9" t="s">
        <v>12</v>
      </c>
    </row>
    <row r="43" spans="1:1" ht="37.5" x14ac:dyDescent="0.3">
      <c r="A43" s="7" t="s">
        <v>35</v>
      </c>
    </row>
    <row r="44" spans="1:1" x14ac:dyDescent="0.3">
      <c r="A44" s="5" t="s">
        <v>13</v>
      </c>
    </row>
    <row r="45" spans="1:1" x14ac:dyDescent="0.3">
      <c r="A45" s="5" t="s">
        <v>14</v>
      </c>
    </row>
    <row r="46" spans="1:1" ht="19.5" thickBot="1" x14ac:dyDescent="0.35">
      <c r="A46" s="6" t="s">
        <v>15</v>
      </c>
    </row>
    <row r="47" spans="1:1" x14ac:dyDescent="0.3">
      <c r="A47" s="9" t="s">
        <v>11</v>
      </c>
    </row>
    <row r="48" spans="1:1" x14ac:dyDescent="0.3">
      <c r="A48" s="5" t="s">
        <v>36</v>
      </c>
    </row>
    <row r="49" spans="1:1" x14ac:dyDescent="0.3">
      <c r="A49" s="5" t="s">
        <v>37</v>
      </c>
    </row>
    <row r="50" spans="1:1" ht="37.5" x14ac:dyDescent="0.3">
      <c r="A50" s="7" t="s">
        <v>38</v>
      </c>
    </row>
    <row r="51" spans="1:1" x14ac:dyDescent="0.3">
      <c r="A51" s="5" t="s">
        <v>41</v>
      </c>
    </row>
    <row r="52" spans="1:1" x14ac:dyDescent="0.3">
      <c r="A52" s="5" t="s">
        <v>39</v>
      </c>
    </row>
    <row r="53" spans="1:1" ht="19.5" thickBot="1" x14ac:dyDescent="0.35">
      <c r="A53" s="6" t="s">
        <v>40</v>
      </c>
    </row>
    <row r="54" spans="1:1" ht="19.5" thickBot="1" x14ac:dyDescent="0.35">
      <c r="A54" s="22" t="s">
        <v>54</v>
      </c>
    </row>
    <row r="55" spans="1:1" x14ac:dyDescent="0.3">
      <c r="A55" s="23" t="s">
        <v>55</v>
      </c>
    </row>
  </sheetData>
  <mergeCells count="1">
    <mergeCell ref="A2:G2"/>
  </mergeCells>
  <conditionalFormatting sqref="A38">
    <cfRule type="containsText" dxfId="306" priority="40" operator="containsText" text="North S.">
      <formula>NOT(ISERROR(SEARCH("North S.",A38)))</formula>
    </cfRule>
    <cfRule type="containsText" dxfId="305" priority="41" operator="containsText" text="NS">
      <formula>NOT(ISERROR(SEARCH("NS",A38)))</formula>
    </cfRule>
    <cfRule type="containsText" dxfId="304" priority="42" operator="containsText" text="Alante">
      <formula>NOT(ISERROR(SEARCH("Alante",A38)))</formula>
    </cfRule>
    <cfRule type="containsText" dxfId="303" priority="43" operator="containsText" text="Alante">
      <formula>NOT(ISERROR(SEARCH("Alante",A38)))</formula>
    </cfRule>
    <cfRule type="containsText" dxfId="302" priority="44" operator="containsText" text="Alumus">
      <formula>NOT(ISERROR(SEARCH("Alumus",A38)))</formula>
    </cfRule>
    <cfRule type="containsText" dxfId="301" priority="45" operator="containsText" text="Aleca">
      <formula>NOT(ISERROR(SEARCH("Aleca",A38)))</formula>
    </cfRule>
    <cfRule type="containsText" dxfId="300" priority="46" operator="containsText" text="M&amp;R">
      <formula>NOT(ISERROR(SEARCH("M&amp;R",A38)))</formula>
    </cfRule>
    <cfRule type="containsText" dxfId="299" priority="47" operator="containsText" text="Chandler">
      <formula>NOT(ISERROR(SEARCH("Chandler",A38)))</formula>
    </cfRule>
    <cfRule type="containsText" dxfId="298" priority="48" operator="containsText" text="Mesa">
      <formula>NOT(ISERROR(SEARCH("Mesa",A38)))</formula>
    </cfRule>
  </conditionalFormatting>
  <conditionalFormatting sqref="A39:A55">
    <cfRule type="containsText" dxfId="297" priority="19" operator="containsText" text="M&amp;R">
      <formula>NOT(ISERROR(SEARCH("M&amp;R",A39)))</formula>
    </cfRule>
    <cfRule type="containsText" dxfId="296" priority="20" operator="containsText" text="North S.">
      <formula>NOT(ISERROR(SEARCH("North S.",A39)))</formula>
    </cfRule>
    <cfRule type="containsText" dxfId="295" priority="21" operator="containsText" text="NS">
      <formula>NOT(ISERROR(SEARCH("NS",A39)))</formula>
    </cfRule>
    <cfRule type="containsText" dxfId="294" priority="22" operator="containsText" text="Alante">
      <formula>NOT(ISERROR(SEARCH("Alante",A39)))</formula>
    </cfRule>
    <cfRule type="containsText" dxfId="293" priority="23" operator="containsText" text="Alante">
      <formula>NOT(ISERROR(SEARCH("Alante",A39)))</formula>
    </cfRule>
    <cfRule type="containsText" dxfId="292" priority="24" operator="containsText" text="Alumus">
      <formula>NOT(ISERROR(SEARCH("Alumus",A39)))</formula>
    </cfRule>
    <cfRule type="containsText" dxfId="291" priority="25" operator="containsText" text="Aleca">
      <formula>NOT(ISERROR(SEARCH("Aleca",A39)))</formula>
    </cfRule>
    <cfRule type="containsText" dxfId="290" priority="27" operator="containsText" text="Chandler">
      <formula>NOT(ISERROR(SEARCH("Chandler",A39)))</formula>
    </cfRule>
    <cfRule type="containsText" dxfId="289" priority="28" operator="containsText" text="Mesa">
      <formula>NOT(ISERROR(SEARCH("Mesa",A39)))</formula>
    </cfRule>
  </conditionalFormatting>
  <conditionalFormatting sqref="A54">
    <cfRule type="containsText" dxfId="288" priority="5" operator="containsText" text="MKT: ">
      <formula>NOT(ISERROR(SEARCH("MKT: ",A54)))</formula>
    </cfRule>
    <cfRule type="containsText" dxfId="287" priority="8" operator="containsText" text="MKT: ">
      <formula>NOT(ISERROR(SEARCH("MKT: ",A54)))</formula>
    </cfRule>
    <cfRule type="containsText" dxfId="286" priority="10" operator="containsText" text="MKT:">
      <formula>NOT(ISERROR(SEARCH("MKT:",A54)))</formula>
    </cfRule>
  </conditionalFormatting>
  <conditionalFormatting sqref="A54:A55">
    <cfRule type="containsText" dxfId="285" priority="6" operator="containsText" text="REC: ">
      <formula>NOT(ISERROR(SEARCH("REC: ",A54)))</formula>
    </cfRule>
  </conditionalFormatting>
  <conditionalFormatting sqref="A55">
    <cfRule type="containsText" dxfId="284" priority="9" operator="containsText" text="REC:">
      <formula>NOT(ISERROR(SEARCH("REC:",A55)))</formula>
    </cfRule>
  </conditionalFormatting>
  <conditionalFormatting sqref="A2:XFD37 B38:XFD55 A56:XFD1048576">
    <cfRule type="containsText" dxfId="283" priority="58" operator="containsText" text="North S.">
      <formula>NOT(ISERROR(SEARCH("North S.",A2)))</formula>
    </cfRule>
    <cfRule type="containsText" dxfId="282" priority="59" operator="containsText" text="NS">
      <formula>NOT(ISERROR(SEARCH("NS",A2)))</formula>
    </cfRule>
    <cfRule type="containsText" dxfId="281" priority="60" operator="containsText" text="Alante">
      <formula>NOT(ISERROR(SEARCH("Alante",A2)))</formula>
    </cfRule>
    <cfRule type="containsText" dxfId="280" priority="61" operator="containsText" text="Alante">
      <formula>NOT(ISERROR(SEARCH("Alante",A2)))</formula>
    </cfRule>
    <cfRule type="containsText" dxfId="279" priority="62" operator="containsText" text="Alumus">
      <formula>NOT(ISERROR(SEARCH("Alumus",A2)))</formula>
    </cfRule>
    <cfRule type="containsText" dxfId="278" priority="63" operator="containsText" text="Aleca">
      <formula>NOT(ISERROR(SEARCH("Aleca",A2)))</formula>
    </cfRule>
    <cfRule type="containsText" dxfId="277" priority="64" operator="containsText" text="M&amp;R">
      <formula>NOT(ISERROR(SEARCH("M&amp;R",A2)))</formula>
    </cfRule>
    <cfRule type="containsText" dxfId="276" priority="65" operator="containsText" text="Chandler">
      <formula>NOT(ISERROR(SEARCH("Chandler",A2)))</formula>
    </cfRule>
    <cfRule type="containsText" dxfId="275" priority="66" operator="containsText" text="Mesa">
      <formula>NOT(ISERROR(SEARCH("Mesa",A2)))</formula>
    </cfRule>
  </conditionalFormatting>
  <conditionalFormatting sqref="A2:XFD1048576">
    <cfRule type="containsText" dxfId="274" priority="3" operator="containsText" text="REC:">
      <formula>NOT(ISERROR(SEARCH("REC:",A2)))</formula>
    </cfRule>
    <cfRule type="containsText" dxfId="273" priority="4" operator="containsText" text="MKT: ">
      <formula>NOT(ISERROR(SEARCH("MKT: ",A2)))</formula>
    </cfRule>
    <cfRule type="containsText" dxfId="272" priority="11" operator="containsText" text="RC: ">
      <formula>NOT(ISERROR(SEARCH("RC: ",A2)))</formula>
    </cfRule>
    <cfRule type="containsText" dxfId="271" priority="12" operator="containsText" text="LC: ">
      <formula>NOT(ISERROR(SEARCH("LC: ",A2)))</formula>
    </cfRule>
    <cfRule type="containsText" dxfId="270" priority="13" operator="containsText" text="Ridge: ">
      <formula>NOT(ISERROR(SEARCH("Ridge: ",A2)))</formula>
    </cfRule>
    <cfRule type="containsText" dxfId="269" priority="14" operator="containsText" text="NWL: ">
      <formula>NOT(ISERROR(SEARCH("NWL: ",A2)))</formula>
    </cfRule>
    <cfRule type="containsText" dxfId="268" priority="15" operator="containsText" text="CM: ">
      <formula>NOT(ISERROR(SEARCH("CM: ",A2)))</formula>
    </cfRule>
    <cfRule type="containsText" dxfId="267" priority="16" operator="containsText" text="C!: ">
      <formula>NOT(ISERROR(SEARCH("C!: ",A2)))</formula>
    </cfRule>
    <cfRule type="containsText" dxfId="266" priority="17" operator="containsText" text="CI: ">
      <formula>NOT(ISERROR(SEARCH("CI: ",A2)))</formula>
    </cfRule>
    <cfRule type="containsText" dxfId="265" priority="18" operator="containsText" text="Surprise">
      <formula>NOT(ISERROR(SEARCH("Surprise",A2)))</formula>
    </cfRule>
    <cfRule type="containsText" dxfId="264" priority="26" operator="containsText" text="M&amp;R">
      <formula>NOT(ISERROR(SEARCH("M&amp;R",A2)))</formula>
    </cfRule>
  </conditionalFormatting>
  <conditionalFormatting sqref="A1:XFD1">
    <cfRule type="containsText" dxfId="263" priority="1" operator="containsText" text="REC: ">
      <formula>NOT(ISERROR(SEARCH("REC: ",A1)))</formula>
    </cfRule>
    <cfRule type="containsText" dxfId="262" priority="2" operator="containsText" text="MKT: ">
      <formula>NOT(ISERROR(SEARCH("MKT: ",A1)))</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0F2E1-2712-4786-B8C7-82ACA4B7F70E}">
  <sheetPr codeName="Sheet8"/>
  <dimension ref="A1:I50"/>
  <sheetViews>
    <sheetView workbookViewId="0">
      <selection sqref="A1:XFD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31</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f t="shared" ref="B5:F5" si="0">A5+1</f>
        <v>1</v>
      </c>
      <c r="C5" s="3">
        <f t="shared" si="0"/>
        <v>2</v>
      </c>
      <c r="D5" s="3">
        <f t="shared" si="0"/>
        <v>3</v>
      </c>
      <c r="E5" s="3">
        <f t="shared" si="0"/>
        <v>4</v>
      </c>
      <c r="F5" s="3">
        <f t="shared" si="0"/>
        <v>5</v>
      </c>
      <c r="G5" s="3">
        <f>F5+1</f>
        <v>6</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7</v>
      </c>
      <c r="B10" s="3">
        <f t="shared" ref="B10:E10" si="1">A10+1</f>
        <v>8</v>
      </c>
      <c r="C10" s="3">
        <f t="shared" si="1"/>
        <v>9</v>
      </c>
      <c r="D10" s="3">
        <f t="shared" si="1"/>
        <v>10</v>
      </c>
      <c r="E10" s="3">
        <f t="shared" si="1"/>
        <v>11</v>
      </c>
      <c r="F10" s="3">
        <f>E10+1</f>
        <v>12</v>
      </c>
      <c r="G10" s="3">
        <f>F10+1</f>
        <v>13</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14</v>
      </c>
      <c r="B15" s="3">
        <f t="shared" ref="B15:E15" si="2">A15+1</f>
        <v>15</v>
      </c>
      <c r="C15" s="3">
        <f t="shared" si="2"/>
        <v>16</v>
      </c>
      <c r="D15" s="3">
        <f t="shared" si="2"/>
        <v>17</v>
      </c>
      <c r="E15" s="3">
        <f t="shared" si="2"/>
        <v>18</v>
      </c>
      <c r="F15" s="3">
        <f>E15+1</f>
        <v>19</v>
      </c>
      <c r="G15" s="3">
        <f>F15+1</f>
        <v>20</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21</v>
      </c>
      <c r="B20" s="3">
        <f t="shared" ref="B20:E20" si="3">A20+1</f>
        <v>22</v>
      </c>
      <c r="C20" s="3">
        <f t="shared" si="3"/>
        <v>23</v>
      </c>
      <c r="D20" s="3">
        <f t="shared" si="3"/>
        <v>24</v>
      </c>
      <c r="E20" s="3">
        <f t="shared" si="3"/>
        <v>25</v>
      </c>
      <c r="F20" s="3">
        <f>E20+1</f>
        <v>26</v>
      </c>
      <c r="G20" s="3">
        <f>F20+1</f>
        <v>27</v>
      </c>
    </row>
    <row r="21" spans="1:7" x14ac:dyDescent="0.3">
      <c r="A21" s="5"/>
      <c r="B21" s="7"/>
      <c r="C21" s="5"/>
      <c r="D21" s="5"/>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28</v>
      </c>
      <c r="B25" s="3">
        <f t="shared" ref="B25:C25" si="4">A25+1</f>
        <v>29</v>
      </c>
      <c r="C25" s="3">
        <f t="shared" si="4"/>
        <v>30</v>
      </c>
    </row>
    <row r="26" spans="1:7" x14ac:dyDescent="0.3">
      <c r="A26" s="5"/>
      <c r="B26" s="5"/>
      <c r="C26" s="5"/>
    </row>
    <row r="27" spans="1:7" x14ac:dyDescent="0.3">
      <c r="A27" s="5"/>
      <c r="B27" s="5"/>
      <c r="C27" s="5"/>
    </row>
    <row r="28" spans="1:7" x14ac:dyDescent="0.3">
      <c r="A28" s="5"/>
      <c r="B28" s="5"/>
      <c r="C28" s="5"/>
    </row>
    <row r="29" spans="1:7" ht="19.5" thickBot="1" x14ac:dyDescent="0.35">
      <c r="A29" s="6"/>
      <c r="B29" s="6"/>
      <c r="C29" s="6"/>
    </row>
    <row r="33" spans="1:1" ht="19.5" thickBot="1" x14ac:dyDescent="0.35"/>
    <row r="34" spans="1:1" ht="19.5" thickBot="1" x14ac:dyDescent="0.35">
      <c r="A34" s="8" t="s">
        <v>8</v>
      </c>
    </row>
    <row r="35" spans="1:1" ht="19.5" thickBot="1" x14ac:dyDescent="0.35">
      <c r="A35" s="8" t="s">
        <v>9</v>
      </c>
    </row>
    <row r="36" spans="1:1" ht="19.5" thickBot="1" x14ac:dyDescent="0.35">
      <c r="A36" s="8" t="s">
        <v>10</v>
      </c>
    </row>
    <row r="37" spans="1:1" x14ac:dyDescent="0.3">
      <c r="A37" s="9" t="s">
        <v>12</v>
      </c>
    </row>
    <row r="38" spans="1:1" ht="37.5" x14ac:dyDescent="0.3">
      <c r="A38" s="7" t="s">
        <v>35</v>
      </c>
    </row>
    <row r="39" spans="1:1" x14ac:dyDescent="0.3">
      <c r="A39" s="5" t="s">
        <v>13</v>
      </c>
    </row>
    <row r="40" spans="1:1" x14ac:dyDescent="0.3">
      <c r="A40" s="5" t="s">
        <v>14</v>
      </c>
    </row>
    <row r="41" spans="1:1" ht="19.5" thickBot="1" x14ac:dyDescent="0.35">
      <c r="A41" s="6" t="s">
        <v>15</v>
      </c>
    </row>
    <row r="42" spans="1:1" x14ac:dyDescent="0.3">
      <c r="A42" s="9" t="s">
        <v>11</v>
      </c>
    </row>
    <row r="43" spans="1:1" x14ac:dyDescent="0.3">
      <c r="A43" s="5" t="s">
        <v>36</v>
      </c>
    </row>
    <row r="44" spans="1:1" x14ac:dyDescent="0.3">
      <c r="A44" s="5" t="s">
        <v>37</v>
      </c>
    </row>
    <row r="45" spans="1:1" ht="37.5" x14ac:dyDescent="0.3">
      <c r="A45" s="7" t="s">
        <v>38</v>
      </c>
    </row>
    <row r="46" spans="1:1" x14ac:dyDescent="0.3">
      <c r="A46" s="5" t="s">
        <v>41</v>
      </c>
    </row>
    <row r="47" spans="1:1" x14ac:dyDescent="0.3">
      <c r="A47" s="5" t="s">
        <v>39</v>
      </c>
    </row>
    <row r="48" spans="1:1" ht="19.5" thickBot="1" x14ac:dyDescent="0.35">
      <c r="A48" s="6" t="s">
        <v>40</v>
      </c>
    </row>
    <row r="49" spans="1:1" ht="19.5" thickBot="1" x14ac:dyDescent="0.35">
      <c r="A49" s="22" t="s">
        <v>54</v>
      </c>
    </row>
    <row r="50" spans="1:1" x14ac:dyDescent="0.3">
      <c r="A50" s="23" t="s">
        <v>55</v>
      </c>
    </row>
  </sheetData>
  <mergeCells count="1">
    <mergeCell ref="A2:G2"/>
  </mergeCells>
  <conditionalFormatting sqref="A33">
    <cfRule type="containsText" dxfId="261" priority="40" operator="containsText" text="North S.">
      <formula>NOT(ISERROR(SEARCH("North S.",A33)))</formula>
    </cfRule>
    <cfRule type="containsText" dxfId="260" priority="41" operator="containsText" text="NS">
      <formula>NOT(ISERROR(SEARCH("NS",A33)))</formula>
    </cfRule>
    <cfRule type="containsText" dxfId="259" priority="42" operator="containsText" text="Alante">
      <formula>NOT(ISERROR(SEARCH("Alante",A33)))</formula>
    </cfRule>
    <cfRule type="containsText" dxfId="258" priority="43" operator="containsText" text="Alante">
      <formula>NOT(ISERROR(SEARCH("Alante",A33)))</formula>
    </cfRule>
    <cfRule type="containsText" dxfId="257" priority="44" operator="containsText" text="Alumus">
      <formula>NOT(ISERROR(SEARCH("Alumus",A33)))</formula>
    </cfRule>
    <cfRule type="containsText" dxfId="256" priority="45" operator="containsText" text="Aleca">
      <formula>NOT(ISERROR(SEARCH("Aleca",A33)))</formula>
    </cfRule>
    <cfRule type="containsText" dxfId="255" priority="46" operator="containsText" text="M&amp;R">
      <formula>NOT(ISERROR(SEARCH("M&amp;R",A33)))</formula>
    </cfRule>
    <cfRule type="containsText" dxfId="254" priority="47" operator="containsText" text="Chandler">
      <formula>NOT(ISERROR(SEARCH("Chandler",A33)))</formula>
    </cfRule>
    <cfRule type="containsText" dxfId="253" priority="48" operator="containsText" text="Mesa">
      <formula>NOT(ISERROR(SEARCH("Mesa",A33)))</formula>
    </cfRule>
  </conditionalFormatting>
  <conditionalFormatting sqref="A34:A50">
    <cfRule type="containsText" dxfId="252" priority="19" operator="containsText" text="M&amp;R">
      <formula>NOT(ISERROR(SEARCH("M&amp;R",A34)))</formula>
    </cfRule>
    <cfRule type="containsText" dxfId="251" priority="20" operator="containsText" text="North S.">
      <formula>NOT(ISERROR(SEARCH("North S.",A34)))</formula>
    </cfRule>
    <cfRule type="containsText" dxfId="250" priority="21" operator="containsText" text="NS">
      <formula>NOT(ISERROR(SEARCH("NS",A34)))</formula>
    </cfRule>
    <cfRule type="containsText" dxfId="249" priority="22" operator="containsText" text="Alante">
      <formula>NOT(ISERROR(SEARCH("Alante",A34)))</formula>
    </cfRule>
    <cfRule type="containsText" dxfId="248" priority="23" operator="containsText" text="Alante">
      <formula>NOT(ISERROR(SEARCH("Alante",A34)))</formula>
    </cfRule>
    <cfRule type="containsText" dxfId="247" priority="24" operator="containsText" text="Alumus">
      <formula>NOT(ISERROR(SEARCH("Alumus",A34)))</formula>
    </cfRule>
    <cfRule type="containsText" dxfId="246" priority="25" operator="containsText" text="Aleca">
      <formula>NOT(ISERROR(SEARCH("Aleca",A34)))</formula>
    </cfRule>
    <cfRule type="containsText" dxfId="245" priority="27" operator="containsText" text="Chandler">
      <formula>NOT(ISERROR(SEARCH("Chandler",A34)))</formula>
    </cfRule>
    <cfRule type="containsText" dxfId="244" priority="28" operator="containsText" text="Mesa">
      <formula>NOT(ISERROR(SEARCH("Mesa",A34)))</formula>
    </cfRule>
  </conditionalFormatting>
  <conditionalFormatting sqref="A49">
    <cfRule type="containsText" dxfId="243" priority="5" operator="containsText" text="MKT: ">
      <formula>NOT(ISERROR(SEARCH("MKT: ",A49)))</formula>
    </cfRule>
    <cfRule type="containsText" dxfId="242" priority="8" operator="containsText" text="MKT: ">
      <formula>NOT(ISERROR(SEARCH("MKT: ",A49)))</formula>
    </cfRule>
    <cfRule type="containsText" dxfId="241" priority="10" operator="containsText" text="MKT:">
      <formula>NOT(ISERROR(SEARCH("MKT:",A49)))</formula>
    </cfRule>
  </conditionalFormatting>
  <conditionalFormatting sqref="A49:A50">
    <cfRule type="containsText" dxfId="240" priority="6" operator="containsText" text="REC: ">
      <formula>NOT(ISERROR(SEARCH("REC: ",A49)))</formula>
    </cfRule>
  </conditionalFormatting>
  <conditionalFormatting sqref="A50">
    <cfRule type="containsText" dxfId="239" priority="9" operator="containsText" text="REC:">
      <formula>NOT(ISERROR(SEARCH("REC:",A50)))</formula>
    </cfRule>
  </conditionalFormatting>
  <conditionalFormatting sqref="A2:XFD32 B33:XFD50 A51:XFD1048576">
    <cfRule type="containsText" dxfId="238" priority="58" operator="containsText" text="North S.">
      <formula>NOT(ISERROR(SEARCH("North S.",A2)))</formula>
    </cfRule>
    <cfRule type="containsText" dxfId="237" priority="59" operator="containsText" text="NS">
      <formula>NOT(ISERROR(SEARCH("NS",A2)))</formula>
    </cfRule>
    <cfRule type="containsText" dxfId="236" priority="60" operator="containsText" text="Alante">
      <formula>NOT(ISERROR(SEARCH("Alante",A2)))</formula>
    </cfRule>
    <cfRule type="containsText" dxfId="235" priority="61" operator="containsText" text="Alante">
      <formula>NOT(ISERROR(SEARCH("Alante",A2)))</formula>
    </cfRule>
    <cfRule type="containsText" dxfId="234" priority="62" operator="containsText" text="Alumus">
      <formula>NOT(ISERROR(SEARCH("Alumus",A2)))</formula>
    </cfRule>
    <cfRule type="containsText" dxfId="233" priority="63" operator="containsText" text="Aleca">
      <formula>NOT(ISERROR(SEARCH("Aleca",A2)))</formula>
    </cfRule>
    <cfRule type="containsText" dxfId="232" priority="64" operator="containsText" text="M&amp;R">
      <formula>NOT(ISERROR(SEARCH("M&amp;R",A2)))</formula>
    </cfRule>
    <cfRule type="containsText" dxfId="231" priority="65" operator="containsText" text="Chandler">
      <formula>NOT(ISERROR(SEARCH("Chandler",A2)))</formula>
    </cfRule>
    <cfRule type="containsText" dxfId="230" priority="66" operator="containsText" text="Mesa">
      <formula>NOT(ISERROR(SEARCH("Mesa",A2)))</formula>
    </cfRule>
  </conditionalFormatting>
  <conditionalFormatting sqref="A2:XFD1048576">
    <cfRule type="containsText" dxfId="229" priority="3" operator="containsText" text="REC: ">
      <formula>NOT(ISERROR(SEARCH("REC: ",A2)))</formula>
    </cfRule>
    <cfRule type="containsText" dxfId="228" priority="4" operator="containsText" text="MKT: ">
      <formula>NOT(ISERROR(SEARCH("MKT: ",A2)))</formula>
    </cfRule>
    <cfRule type="containsText" dxfId="227" priority="11" operator="containsText" text="RC: ">
      <formula>NOT(ISERROR(SEARCH("RC: ",A2)))</formula>
    </cfRule>
    <cfRule type="containsText" dxfId="226" priority="12" operator="containsText" text="LC: ">
      <formula>NOT(ISERROR(SEARCH("LC: ",A2)))</formula>
    </cfRule>
    <cfRule type="containsText" dxfId="225" priority="13" operator="containsText" text="Ridge: ">
      <formula>NOT(ISERROR(SEARCH("Ridge: ",A2)))</formula>
    </cfRule>
    <cfRule type="containsText" dxfId="224" priority="14" operator="containsText" text="NWL: ">
      <formula>NOT(ISERROR(SEARCH("NWL: ",A2)))</formula>
    </cfRule>
    <cfRule type="containsText" dxfId="223" priority="15" operator="containsText" text="CM: ">
      <formula>NOT(ISERROR(SEARCH("CM: ",A2)))</formula>
    </cfRule>
    <cfRule type="containsText" dxfId="222" priority="16" operator="containsText" text="C!: ">
      <formula>NOT(ISERROR(SEARCH("C!: ",A2)))</formula>
    </cfRule>
    <cfRule type="containsText" dxfId="221" priority="17" operator="containsText" text="CI: ">
      <formula>NOT(ISERROR(SEARCH("CI: ",A2)))</formula>
    </cfRule>
    <cfRule type="containsText" dxfId="220" priority="18" operator="containsText" text="Surprise">
      <formula>NOT(ISERROR(SEARCH("Surprise",A2)))</formula>
    </cfRule>
    <cfRule type="containsText" dxfId="219" priority="26" operator="containsText" text="M&amp;R">
      <formula>NOT(ISERROR(SEARCH("M&amp;R",A2)))</formula>
    </cfRule>
  </conditionalFormatting>
  <conditionalFormatting sqref="A1:XFD1">
    <cfRule type="containsText" dxfId="218" priority="1" operator="containsText" text="REC: ">
      <formula>NOT(ISERROR(SEARCH("REC: ",A1)))</formula>
    </cfRule>
    <cfRule type="containsText" dxfId="217" priority="2" operator="containsText" text="MKT: ">
      <formula>NOT(ISERROR(SEARCH("MKT: ",A1)))</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3144B-8564-4CB0-988F-C457030BD8DD}">
  <sheetPr codeName="Sheet9"/>
  <dimension ref="A1:I50"/>
  <sheetViews>
    <sheetView workbookViewId="0">
      <selection activeCell="E7" sqref="E7:G7"/>
    </sheetView>
  </sheetViews>
  <sheetFormatPr defaultColWidth="27.140625" defaultRowHeight="18.75" x14ac:dyDescent="0.3"/>
  <cols>
    <col min="1" max="6" width="27.140625" style="1"/>
    <col min="7" max="7" width="27.140625" style="5" customWidth="1"/>
    <col min="8" max="8" width="18" style="1" customWidth="1"/>
    <col min="9" max="16384" width="27.140625" style="1"/>
  </cols>
  <sheetData>
    <row r="1" spans="1:9" s="38" customFormat="1" ht="33" customHeight="1" thickBot="1" x14ac:dyDescent="0.3">
      <c r="A1" s="39"/>
    </row>
    <row r="2" spans="1:9" ht="31.5" x14ac:dyDescent="0.5">
      <c r="A2" s="157" t="s">
        <v>32</v>
      </c>
      <c r="B2" s="158"/>
      <c r="C2" s="158"/>
      <c r="D2" s="158"/>
      <c r="E2" s="158"/>
      <c r="F2" s="158"/>
      <c r="G2" s="158"/>
    </row>
    <row r="3" spans="1:9" ht="19.5" thickBot="1" x14ac:dyDescent="0.35">
      <c r="G3" s="1"/>
    </row>
    <row r="4" spans="1:9" ht="19.5" thickBot="1" x14ac:dyDescent="0.35">
      <c r="A4" s="2" t="s">
        <v>0</v>
      </c>
      <c r="B4" s="2" t="s">
        <v>1</v>
      </c>
      <c r="C4" s="2" t="s">
        <v>2</v>
      </c>
      <c r="D4" s="2" t="s">
        <v>3</v>
      </c>
      <c r="E4" s="2" t="s">
        <v>4</v>
      </c>
      <c r="F4" s="142" t="s">
        <v>5</v>
      </c>
      <c r="G4" s="2" t="s">
        <v>6</v>
      </c>
    </row>
    <row r="5" spans="1:9" x14ac:dyDescent="0.3">
      <c r="A5" s="3"/>
      <c r="B5" s="3"/>
      <c r="C5" s="3"/>
      <c r="D5" s="3">
        <f t="shared" ref="D5:F5" si="0">C5+1</f>
        <v>1</v>
      </c>
      <c r="E5" s="3">
        <f t="shared" si="0"/>
        <v>2</v>
      </c>
      <c r="F5" s="140">
        <f t="shared" si="0"/>
        <v>3</v>
      </c>
      <c r="G5" s="3">
        <f>F5+1</f>
        <v>4</v>
      </c>
      <c r="I5" s="4"/>
    </row>
    <row r="6" spans="1:9" x14ac:dyDescent="0.3">
      <c r="A6" s="5"/>
      <c r="B6" s="5"/>
      <c r="C6" s="5"/>
      <c r="D6" s="159" t="s">
        <v>93</v>
      </c>
      <c r="E6" s="161"/>
      <c r="F6" s="161"/>
      <c r="I6" s="4"/>
    </row>
    <row r="7" spans="1:9" x14ac:dyDescent="0.3">
      <c r="A7" s="5"/>
      <c r="B7" s="5"/>
      <c r="C7" s="5"/>
      <c r="D7" s="5"/>
      <c r="E7" s="159" t="s">
        <v>95</v>
      </c>
      <c r="F7" s="161"/>
      <c r="G7" s="160"/>
      <c r="H7" s="141"/>
      <c r="I7" s="4"/>
    </row>
    <row r="8" spans="1:9" x14ac:dyDescent="0.3">
      <c r="A8" s="5"/>
      <c r="B8" s="5"/>
      <c r="C8" s="5"/>
      <c r="D8" s="5"/>
      <c r="E8" s="35"/>
      <c r="F8" s="35"/>
      <c r="I8" s="4"/>
    </row>
    <row r="9" spans="1:9" ht="19.5" thickBot="1" x14ac:dyDescent="0.35">
      <c r="A9" s="6"/>
      <c r="B9" s="6"/>
      <c r="C9" s="6"/>
      <c r="D9" s="6"/>
      <c r="E9" s="36"/>
      <c r="F9" s="36"/>
      <c r="G9" s="6"/>
    </row>
    <row r="10" spans="1:9" x14ac:dyDescent="0.3">
      <c r="A10" s="3">
        <f>G5+1</f>
        <v>5</v>
      </c>
      <c r="B10" s="3">
        <f t="shared" ref="B10:E10" si="1">A10+1</f>
        <v>6</v>
      </c>
      <c r="C10" s="3">
        <f t="shared" si="1"/>
        <v>7</v>
      </c>
      <c r="D10" s="3">
        <f t="shared" si="1"/>
        <v>8</v>
      </c>
      <c r="E10" s="3">
        <f t="shared" si="1"/>
        <v>9</v>
      </c>
      <c r="F10" s="140">
        <f>E10+1</f>
        <v>10</v>
      </c>
      <c r="G10" s="5">
        <f>F10+1</f>
        <v>11</v>
      </c>
    </row>
    <row r="11" spans="1:9" x14ac:dyDescent="0.3">
      <c r="A11" s="5"/>
      <c r="B11" s="5"/>
      <c r="C11" s="5"/>
      <c r="D11" s="162" t="s">
        <v>88</v>
      </c>
      <c r="E11" s="163"/>
      <c r="F11" s="164"/>
      <c r="G11" s="24"/>
    </row>
    <row r="12" spans="1:9" x14ac:dyDescent="0.3">
      <c r="A12" s="34"/>
      <c r="B12" s="5"/>
      <c r="C12" s="5"/>
      <c r="D12" s="5"/>
      <c r="E12" s="5"/>
      <c r="F12" s="35"/>
    </row>
    <row r="13" spans="1:9" x14ac:dyDescent="0.3">
      <c r="A13" s="5"/>
      <c r="B13" s="5"/>
      <c r="C13" s="5"/>
      <c r="D13" s="5"/>
      <c r="E13" s="5"/>
      <c r="F13" s="35"/>
      <c r="I13" s="4"/>
    </row>
    <row r="14" spans="1:9" ht="19.5" thickBot="1" x14ac:dyDescent="0.35">
      <c r="A14" s="6"/>
      <c r="B14" s="6"/>
      <c r="C14" s="6"/>
      <c r="D14" s="6"/>
      <c r="E14" s="6"/>
      <c r="F14" s="36"/>
      <c r="G14" s="6"/>
    </row>
    <row r="15" spans="1:9" x14ac:dyDescent="0.3">
      <c r="A15" s="3">
        <f>G10+1</f>
        <v>12</v>
      </c>
      <c r="B15" s="3">
        <f t="shared" ref="B15:E15" si="2">A15+1</f>
        <v>13</v>
      </c>
      <c r="C15" s="3">
        <f t="shared" si="2"/>
        <v>14</v>
      </c>
      <c r="D15" s="3">
        <f t="shared" si="2"/>
        <v>15</v>
      </c>
      <c r="E15" s="3">
        <f t="shared" si="2"/>
        <v>16</v>
      </c>
      <c r="F15" s="140">
        <f>E15+1</f>
        <v>17</v>
      </c>
      <c r="G15" s="3">
        <f>F15+1</f>
        <v>18</v>
      </c>
    </row>
    <row r="16" spans="1:9" x14ac:dyDescent="0.3">
      <c r="D16" s="7"/>
      <c r="E16" s="7"/>
      <c r="F16" s="143"/>
    </row>
    <row r="17" spans="1:7" x14ac:dyDescent="0.3">
      <c r="A17" s="5"/>
      <c r="B17" s="5"/>
      <c r="C17" s="5"/>
      <c r="D17" s="5"/>
      <c r="E17" s="7"/>
      <c r="F17" s="35"/>
    </row>
    <row r="18" spans="1:7" x14ac:dyDescent="0.3">
      <c r="A18" s="5"/>
      <c r="B18" s="5"/>
      <c r="C18" s="5"/>
      <c r="D18" s="5"/>
      <c r="E18" s="5"/>
      <c r="F18" s="35"/>
    </row>
    <row r="19" spans="1:7" ht="19.5" thickBot="1" x14ac:dyDescent="0.35">
      <c r="A19" s="6"/>
      <c r="B19" s="6"/>
      <c r="C19" s="6"/>
      <c r="D19" s="6"/>
      <c r="E19" s="6"/>
      <c r="F19" s="36"/>
      <c r="G19" s="6"/>
    </row>
    <row r="20" spans="1:7" x14ac:dyDescent="0.3">
      <c r="A20" s="3">
        <f>G15+1</f>
        <v>19</v>
      </c>
      <c r="B20" s="3">
        <f t="shared" ref="B20:E20" si="3">A20+1</f>
        <v>20</v>
      </c>
      <c r="C20" s="3">
        <f t="shared" si="3"/>
        <v>21</v>
      </c>
      <c r="D20" s="3">
        <f t="shared" si="3"/>
        <v>22</v>
      </c>
      <c r="E20" s="3">
        <f t="shared" si="3"/>
        <v>23</v>
      </c>
      <c r="F20" s="140">
        <f>E20+1</f>
        <v>24</v>
      </c>
      <c r="G20" s="3">
        <f>F20+1</f>
        <v>25</v>
      </c>
    </row>
    <row r="21" spans="1:7" x14ac:dyDescent="0.3">
      <c r="A21" s="5"/>
      <c r="B21" s="7"/>
      <c r="C21" s="5"/>
      <c r="D21" s="5"/>
      <c r="E21" s="5"/>
      <c r="F21" s="35"/>
    </row>
    <row r="22" spans="1:7" x14ac:dyDescent="0.3">
      <c r="A22" s="5"/>
      <c r="B22" s="7"/>
      <c r="C22" s="5"/>
      <c r="D22" s="5"/>
      <c r="E22" s="5"/>
      <c r="F22" s="35"/>
    </row>
    <row r="23" spans="1:7" x14ac:dyDescent="0.3">
      <c r="A23" s="5"/>
      <c r="B23" s="5"/>
      <c r="C23" s="5"/>
      <c r="D23" s="5"/>
      <c r="E23" s="5"/>
      <c r="F23" s="35"/>
    </row>
    <row r="24" spans="1:7" ht="19.5" thickBot="1" x14ac:dyDescent="0.35">
      <c r="A24" s="6"/>
      <c r="B24" s="6"/>
      <c r="C24" s="6"/>
      <c r="D24" s="6"/>
      <c r="E24" s="6"/>
      <c r="F24" s="36"/>
      <c r="G24" s="6"/>
    </row>
    <row r="25" spans="1:7" x14ac:dyDescent="0.3">
      <c r="A25" s="3">
        <f>G20+1</f>
        <v>26</v>
      </c>
      <c r="B25" s="3">
        <f t="shared" ref="B25:E25" si="4">A25+1</f>
        <v>27</v>
      </c>
      <c r="C25" s="3">
        <f t="shared" si="4"/>
        <v>28</v>
      </c>
      <c r="D25" s="3">
        <f t="shared" si="4"/>
        <v>29</v>
      </c>
      <c r="E25" s="3">
        <f t="shared" si="4"/>
        <v>30</v>
      </c>
      <c r="F25" s="140">
        <f>E25+1</f>
        <v>31</v>
      </c>
    </row>
    <row r="26" spans="1:7" x14ac:dyDescent="0.3">
      <c r="A26" s="5"/>
      <c r="B26" s="5"/>
      <c r="C26" s="5"/>
      <c r="D26" s="159" t="s">
        <v>97</v>
      </c>
      <c r="E26" s="161"/>
      <c r="F26" s="160"/>
    </row>
    <row r="27" spans="1:7" x14ac:dyDescent="0.3">
      <c r="A27" s="5"/>
      <c r="B27" s="5"/>
      <c r="C27" s="5"/>
      <c r="D27" s="5"/>
      <c r="E27" s="7"/>
      <c r="F27" s="35"/>
    </row>
    <row r="28" spans="1:7" x14ac:dyDescent="0.3">
      <c r="A28" s="5"/>
      <c r="B28" s="5"/>
      <c r="C28" s="5"/>
      <c r="D28" s="5"/>
      <c r="E28" s="5"/>
      <c r="F28" s="35"/>
    </row>
    <row r="29" spans="1:7" ht="19.5" thickBot="1" x14ac:dyDescent="0.35">
      <c r="A29" s="6"/>
      <c r="B29" s="6"/>
      <c r="C29" s="6"/>
      <c r="D29" s="6"/>
      <c r="E29" s="6"/>
      <c r="F29" s="36"/>
    </row>
    <row r="33" spans="1:1" ht="19.5" thickBot="1" x14ac:dyDescent="0.35"/>
    <row r="34" spans="1:1" ht="19.5" thickBot="1" x14ac:dyDescent="0.35">
      <c r="A34" s="8" t="s">
        <v>8</v>
      </c>
    </row>
    <row r="35" spans="1:1" ht="19.5" thickBot="1" x14ac:dyDescent="0.35">
      <c r="A35" s="8" t="s">
        <v>9</v>
      </c>
    </row>
    <row r="36" spans="1:1" ht="19.5" thickBot="1" x14ac:dyDescent="0.35">
      <c r="A36" s="8" t="s">
        <v>10</v>
      </c>
    </row>
    <row r="37" spans="1:1" x14ac:dyDescent="0.3">
      <c r="A37" s="9" t="s">
        <v>12</v>
      </c>
    </row>
    <row r="38" spans="1:1" ht="37.5" x14ac:dyDescent="0.3">
      <c r="A38" s="7" t="s">
        <v>35</v>
      </c>
    </row>
    <row r="39" spans="1:1" x14ac:dyDescent="0.3">
      <c r="A39" s="5" t="s">
        <v>13</v>
      </c>
    </row>
    <row r="40" spans="1:1" x14ac:dyDescent="0.3">
      <c r="A40" s="5" t="s">
        <v>14</v>
      </c>
    </row>
    <row r="41" spans="1:1" ht="19.5" thickBot="1" x14ac:dyDescent="0.35">
      <c r="A41" s="6" t="s">
        <v>15</v>
      </c>
    </row>
    <row r="42" spans="1:1" x14ac:dyDescent="0.3">
      <c r="A42" s="9" t="s">
        <v>11</v>
      </c>
    </row>
    <row r="43" spans="1:1" x14ac:dyDescent="0.3">
      <c r="A43" s="5" t="s">
        <v>36</v>
      </c>
    </row>
    <row r="44" spans="1:1" x14ac:dyDescent="0.3">
      <c r="A44" s="5" t="s">
        <v>37</v>
      </c>
    </row>
    <row r="45" spans="1:1" ht="37.5" x14ac:dyDescent="0.3">
      <c r="A45" s="7" t="s">
        <v>38</v>
      </c>
    </row>
    <row r="46" spans="1:1" x14ac:dyDescent="0.3">
      <c r="A46" s="5" t="s">
        <v>41</v>
      </c>
    </row>
    <row r="47" spans="1:1" x14ac:dyDescent="0.3">
      <c r="A47" s="5" t="s">
        <v>39</v>
      </c>
    </row>
    <row r="48" spans="1:1" ht="19.5" thickBot="1" x14ac:dyDescent="0.35">
      <c r="A48" s="6" t="s">
        <v>40</v>
      </c>
    </row>
    <row r="49" spans="1:1" ht="19.5" thickBot="1" x14ac:dyDescent="0.35">
      <c r="A49" s="22" t="s">
        <v>54</v>
      </c>
    </row>
    <row r="50" spans="1:1" x14ac:dyDescent="0.3">
      <c r="A50" s="23" t="s">
        <v>55</v>
      </c>
    </row>
  </sheetData>
  <mergeCells count="5">
    <mergeCell ref="D26:F26"/>
    <mergeCell ref="A2:G2"/>
    <mergeCell ref="D6:F6"/>
    <mergeCell ref="D11:F11"/>
    <mergeCell ref="E7:G7"/>
  </mergeCells>
  <conditionalFormatting sqref="A33">
    <cfRule type="containsText" dxfId="216" priority="40" operator="containsText" text="North S.">
      <formula>NOT(ISERROR(SEARCH("North S.",A33)))</formula>
    </cfRule>
    <cfRule type="containsText" dxfId="215" priority="41" operator="containsText" text="NS">
      <formula>NOT(ISERROR(SEARCH("NS",A33)))</formula>
    </cfRule>
    <cfRule type="containsText" dxfId="214" priority="42" operator="containsText" text="Alante">
      <formula>NOT(ISERROR(SEARCH("Alante",A33)))</formula>
    </cfRule>
    <cfRule type="containsText" dxfId="213" priority="43" operator="containsText" text="Alante">
      <formula>NOT(ISERROR(SEARCH("Alante",A33)))</formula>
    </cfRule>
    <cfRule type="containsText" dxfId="212" priority="44" operator="containsText" text="Alumus">
      <formula>NOT(ISERROR(SEARCH("Alumus",A33)))</formula>
    </cfRule>
    <cfRule type="containsText" dxfId="211" priority="45" operator="containsText" text="Aleca">
      <formula>NOT(ISERROR(SEARCH("Aleca",A33)))</formula>
    </cfRule>
    <cfRule type="containsText" dxfId="210" priority="46" operator="containsText" text="M&amp;R">
      <formula>NOT(ISERROR(SEARCH("M&amp;R",A33)))</formula>
    </cfRule>
    <cfRule type="containsText" dxfId="209" priority="47" operator="containsText" text="Chandler">
      <formula>NOT(ISERROR(SEARCH("Chandler",A33)))</formula>
    </cfRule>
    <cfRule type="containsText" dxfId="208" priority="48" operator="containsText" text="Mesa">
      <formula>NOT(ISERROR(SEARCH("Mesa",A33)))</formula>
    </cfRule>
  </conditionalFormatting>
  <conditionalFormatting sqref="A34:A50">
    <cfRule type="containsText" dxfId="207" priority="19" operator="containsText" text="M&amp;R">
      <formula>NOT(ISERROR(SEARCH("M&amp;R",A34)))</formula>
    </cfRule>
    <cfRule type="containsText" dxfId="206" priority="20" operator="containsText" text="North S.">
      <formula>NOT(ISERROR(SEARCH("North S.",A34)))</formula>
    </cfRule>
    <cfRule type="containsText" dxfId="205" priority="21" operator="containsText" text="NS">
      <formula>NOT(ISERROR(SEARCH("NS",A34)))</formula>
    </cfRule>
    <cfRule type="containsText" dxfId="204" priority="22" operator="containsText" text="Alante">
      <formula>NOT(ISERROR(SEARCH("Alante",A34)))</formula>
    </cfRule>
    <cfRule type="containsText" dxfId="203" priority="23" operator="containsText" text="Alante">
      <formula>NOT(ISERROR(SEARCH("Alante",A34)))</formula>
    </cfRule>
    <cfRule type="containsText" dxfId="202" priority="24" operator="containsText" text="Alumus">
      <formula>NOT(ISERROR(SEARCH("Alumus",A34)))</formula>
    </cfRule>
    <cfRule type="containsText" dxfId="201" priority="25" operator="containsText" text="Aleca">
      <formula>NOT(ISERROR(SEARCH("Aleca",A34)))</formula>
    </cfRule>
    <cfRule type="containsText" dxfId="200" priority="27" operator="containsText" text="Chandler">
      <formula>NOT(ISERROR(SEARCH("Chandler",A34)))</formula>
    </cfRule>
    <cfRule type="containsText" dxfId="199" priority="28" operator="containsText" text="Mesa">
      <formula>NOT(ISERROR(SEARCH("Mesa",A34)))</formula>
    </cfRule>
  </conditionalFormatting>
  <conditionalFormatting sqref="A49">
    <cfRule type="containsText" dxfId="198" priority="5" operator="containsText" text="MKT: ">
      <formula>NOT(ISERROR(SEARCH("MKT: ",A49)))</formula>
    </cfRule>
    <cfRule type="containsText" dxfId="197" priority="8" operator="containsText" text="MKT: ">
      <formula>NOT(ISERROR(SEARCH("MKT: ",A49)))</formula>
    </cfRule>
    <cfRule type="containsText" dxfId="196" priority="10" operator="containsText" text="MKT:">
      <formula>NOT(ISERROR(SEARCH("MKT:",A49)))</formula>
    </cfRule>
  </conditionalFormatting>
  <conditionalFormatting sqref="A49:A50">
    <cfRule type="containsText" dxfId="195" priority="6" operator="containsText" text="REC: ">
      <formula>NOT(ISERROR(SEARCH("REC: ",A49)))</formula>
    </cfRule>
  </conditionalFormatting>
  <conditionalFormatting sqref="A50">
    <cfRule type="containsText" dxfId="194" priority="9" operator="containsText" text="REC:">
      <formula>NOT(ISERROR(SEARCH("REC:",A50)))</formula>
    </cfRule>
  </conditionalFormatting>
  <conditionalFormatting sqref="A2:XFD5 B33:XFD50 A51:XFD1048576 A6:D6 G6:XFD6 I7:XFD7 A8:XFD10 A17:XFD25 A7:E7 C16:XFD16 A12:XFD15 A11:D11 G11:XFD11 A27:XFD32 A26:D26 G26:XFD26">
    <cfRule type="containsText" dxfId="193" priority="58" operator="containsText" text="North S.">
      <formula>NOT(ISERROR(SEARCH("North S.",A2)))</formula>
    </cfRule>
    <cfRule type="containsText" dxfId="192" priority="59" operator="containsText" text="NS">
      <formula>NOT(ISERROR(SEARCH("NS",A2)))</formula>
    </cfRule>
    <cfRule type="containsText" dxfId="191" priority="60" operator="containsText" text="Alante">
      <formula>NOT(ISERROR(SEARCH("Alante",A2)))</formula>
    </cfRule>
    <cfRule type="containsText" dxfId="190" priority="61" operator="containsText" text="Alante">
      <formula>NOT(ISERROR(SEARCH("Alante",A2)))</formula>
    </cfRule>
    <cfRule type="containsText" dxfId="189" priority="62" operator="containsText" text="Alumus">
      <formula>NOT(ISERROR(SEARCH("Alumus",A2)))</formula>
    </cfRule>
    <cfRule type="containsText" dxfId="188" priority="63" operator="containsText" text="Aleca">
      <formula>NOT(ISERROR(SEARCH("Aleca",A2)))</formula>
    </cfRule>
    <cfRule type="containsText" dxfId="187" priority="64" operator="containsText" text="M&amp;R">
      <formula>NOT(ISERROR(SEARCH("M&amp;R",A2)))</formula>
    </cfRule>
    <cfRule type="containsText" dxfId="186" priority="65" operator="containsText" text="Chandler">
      <formula>NOT(ISERROR(SEARCH("Chandler",A2)))</formula>
    </cfRule>
    <cfRule type="containsText" dxfId="185" priority="66" operator="containsText" text="Mesa">
      <formula>NOT(ISERROR(SEARCH("Mesa",A2)))</formula>
    </cfRule>
  </conditionalFormatting>
  <conditionalFormatting sqref="A2:XFD5 A6:D6 G6:XFD6 I7:XFD7 A8:XFD10 A17:XFD25 A7:E7 C16:XFD16 A12:XFD15 A11:D11 G11:XFD11 A27:XFD1048576 A26:D26 G26:XFD26">
    <cfRule type="containsText" dxfId="184" priority="3" operator="containsText" text="REC: ">
      <formula>NOT(ISERROR(SEARCH("REC: ",A2)))</formula>
    </cfRule>
    <cfRule type="containsText" dxfId="183" priority="4" operator="containsText" text="MKT: ">
      <formula>NOT(ISERROR(SEARCH("MKT: ",A2)))</formula>
    </cfRule>
    <cfRule type="containsText" dxfId="182" priority="11" operator="containsText" text="RC: ">
      <formula>NOT(ISERROR(SEARCH("RC: ",A2)))</formula>
    </cfRule>
    <cfRule type="containsText" dxfId="181" priority="12" operator="containsText" text="LC: ">
      <formula>NOT(ISERROR(SEARCH("LC: ",A2)))</formula>
    </cfRule>
    <cfRule type="containsText" dxfId="180" priority="13" operator="containsText" text="Ridge: ">
      <formula>NOT(ISERROR(SEARCH("Ridge: ",A2)))</formula>
    </cfRule>
    <cfRule type="containsText" dxfId="179" priority="14" operator="containsText" text="NWL: ">
      <formula>NOT(ISERROR(SEARCH("NWL: ",A2)))</formula>
    </cfRule>
    <cfRule type="containsText" dxfId="178" priority="15" operator="containsText" text="CM: ">
      <formula>NOT(ISERROR(SEARCH("CM: ",A2)))</formula>
    </cfRule>
    <cfRule type="containsText" dxfId="177" priority="16" operator="containsText" text="C!: ">
      <formula>NOT(ISERROR(SEARCH("C!: ",A2)))</formula>
    </cfRule>
    <cfRule type="containsText" dxfId="176" priority="17" operator="containsText" text="CI: ">
      <formula>NOT(ISERROR(SEARCH("CI: ",A2)))</formula>
    </cfRule>
    <cfRule type="containsText" dxfId="175" priority="18" operator="containsText" text="Surprise">
      <formula>NOT(ISERROR(SEARCH("Surprise",A2)))</formula>
    </cfRule>
    <cfRule type="containsText" dxfId="174" priority="26" operator="containsText" text="M&amp;R">
      <formula>NOT(ISERROR(SEARCH("M&amp;R",A2)))</formula>
    </cfRule>
  </conditionalFormatting>
  <conditionalFormatting sqref="A1:XFD1">
    <cfRule type="containsText" dxfId="173" priority="1" operator="containsText" text="REC: ">
      <formula>NOT(ISERROR(SEARCH("REC: ",A1)))</formula>
    </cfRule>
    <cfRule type="containsText" dxfId="172" priority="2" operator="containsText" text="MKT: ">
      <formula>NOT(ISERROR(SEARCH("MKT: ",A1)))</formula>
    </cfRule>
  </conditionalFormatting>
  <hyperlinks>
    <hyperlink ref="D6:F6" location="'MKT Events'!A340" display="MKT: Hospital Association of OR 2025 Annual Member Meeting" xr:uid="{7B9DBE93-0B6F-4EFB-8396-FA31E6E6FCFD}"/>
    <hyperlink ref="E7:F7" location="'MKT Events'!A384" display="MKT: Oregon Geriatric Society" xr:uid="{73CFE327-61F4-41DD-8FE6-6CF188EB2399}"/>
    <hyperlink ref="D11:F11" location="'MKT Events'!A428" display="MKT: NAACOS - Accountable Care Organizations" xr:uid="{8F1128FC-C17C-4C81-8241-4064D94E8231}"/>
    <hyperlink ref="D26:F26" location="'MKT Events'!A473" display="MKT: Annual Leadership Conference (AZHHA)" xr:uid="{75F4184E-AE90-4765-8B45-F7EB8F7E0EF1}"/>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F7742-20B8-4E3A-AFE3-F699F61DC89F}">
  <sheetPr codeName="Sheet10"/>
  <dimension ref="A1:I54"/>
  <sheetViews>
    <sheetView workbookViewId="0">
      <selection sqref="A1:XFD1"/>
    </sheetView>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33</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c r="C5" s="3"/>
      <c r="D5" s="3"/>
      <c r="E5" s="3"/>
      <c r="F5" s="3"/>
      <c r="G5" s="3">
        <f>F5+1</f>
        <v>1</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2</v>
      </c>
      <c r="B10" s="3">
        <f t="shared" ref="B10:E10" si="0">A10+1</f>
        <v>3</v>
      </c>
      <c r="C10" s="3">
        <f t="shared" si="0"/>
        <v>4</v>
      </c>
      <c r="D10" s="3">
        <f t="shared" si="0"/>
        <v>5</v>
      </c>
      <c r="E10" s="3">
        <f t="shared" si="0"/>
        <v>6</v>
      </c>
      <c r="F10" s="3">
        <f>E10+1</f>
        <v>7</v>
      </c>
      <c r="G10" s="3">
        <f>F10+1</f>
        <v>8</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9</v>
      </c>
      <c r="B15" s="3">
        <f t="shared" ref="B15:E15" si="1">A15+1</f>
        <v>10</v>
      </c>
      <c r="C15" s="3">
        <f t="shared" si="1"/>
        <v>11</v>
      </c>
      <c r="D15" s="3">
        <f t="shared" si="1"/>
        <v>12</v>
      </c>
      <c r="E15" s="3">
        <f t="shared" si="1"/>
        <v>13</v>
      </c>
      <c r="F15" s="3">
        <f>E15+1</f>
        <v>14</v>
      </c>
      <c r="G15" s="3">
        <f>F15+1</f>
        <v>15</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16</v>
      </c>
      <c r="B20" s="3">
        <f t="shared" ref="B20:E20" si="2">A20+1</f>
        <v>17</v>
      </c>
      <c r="C20" s="3">
        <f t="shared" si="2"/>
        <v>18</v>
      </c>
      <c r="D20" s="3">
        <f t="shared" si="2"/>
        <v>19</v>
      </c>
      <c r="E20" s="3">
        <f t="shared" si="2"/>
        <v>20</v>
      </c>
      <c r="F20" s="3">
        <f>E20+1</f>
        <v>21</v>
      </c>
      <c r="G20" s="3">
        <f>F20+1</f>
        <v>22</v>
      </c>
    </row>
    <row r="21" spans="1:7" x14ac:dyDescent="0.3">
      <c r="A21" s="5"/>
      <c r="B21" s="7"/>
      <c r="C21" s="5"/>
      <c r="D21" s="5"/>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23</v>
      </c>
      <c r="B25" s="3">
        <f t="shared" ref="B25:E25" si="3">A25+1</f>
        <v>24</v>
      </c>
      <c r="C25" s="3">
        <f t="shared" si="3"/>
        <v>25</v>
      </c>
      <c r="D25" s="3">
        <f t="shared" si="3"/>
        <v>26</v>
      </c>
      <c r="E25" s="3">
        <f t="shared" si="3"/>
        <v>27</v>
      </c>
      <c r="F25" s="3">
        <f>E25+1</f>
        <v>28</v>
      </c>
      <c r="G25" s="3">
        <f>F25+1</f>
        <v>29</v>
      </c>
    </row>
    <row r="26" spans="1:7" x14ac:dyDescent="0.3">
      <c r="A26" s="5"/>
      <c r="B26" s="5"/>
      <c r="C26" s="5"/>
      <c r="D26" s="5"/>
      <c r="E26" s="7"/>
      <c r="F26" s="5"/>
      <c r="G26" s="7"/>
    </row>
    <row r="27" spans="1:7" x14ac:dyDescent="0.3">
      <c r="A27" s="5"/>
      <c r="B27" s="5"/>
      <c r="C27" s="5"/>
      <c r="D27" s="5"/>
      <c r="E27" s="7"/>
      <c r="F27" s="5"/>
      <c r="G27" s="5"/>
    </row>
    <row r="28" spans="1:7" x14ac:dyDescent="0.3">
      <c r="A28" s="5"/>
      <c r="B28" s="5"/>
      <c r="C28" s="5"/>
      <c r="D28" s="5"/>
      <c r="E28" s="5"/>
      <c r="F28" s="5"/>
      <c r="G28" s="5"/>
    </row>
    <row r="29" spans="1:7" ht="19.5" thickBot="1" x14ac:dyDescent="0.35">
      <c r="A29" s="6"/>
      <c r="B29" s="6"/>
      <c r="C29" s="6"/>
      <c r="D29" s="6"/>
      <c r="E29" s="6"/>
      <c r="F29" s="6"/>
      <c r="G29" s="6"/>
    </row>
    <row r="30" spans="1:7" x14ac:dyDescent="0.3">
      <c r="A30" s="3">
        <f>G25+1</f>
        <v>30</v>
      </c>
    </row>
    <row r="31" spans="1:7" x14ac:dyDescent="0.3">
      <c r="A31" s="5"/>
    </row>
    <row r="32" spans="1:7" x14ac:dyDescent="0.3">
      <c r="A32" s="5"/>
    </row>
    <row r="33" spans="1:1" x14ac:dyDescent="0.3">
      <c r="A33" s="5"/>
    </row>
    <row r="34" spans="1:1" ht="19.5" thickBot="1" x14ac:dyDescent="0.35">
      <c r="A34" s="6"/>
    </row>
    <row r="37" spans="1:1" ht="19.5" thickBot="1" x14ac:dyDescent="0.35"/>
    <row r="38" spans="1:1" ht="19.5" thickBot="1" x14ac:dyDescent="0.35">
      <c r="A38" s="8" t="s">
        <v>8</v>
      </c>
    </row>
    <row r="39" spans="1:1" ht="19.5" thickBot="1" x14ac:dyDescent="0.35">
      <c r="A39" s="8" t="s">
        <v>9</v>
      </c>
    </row>
    <row r="40" spans="1:1" ht="19.5" thickBot="1" x14ac:dyDescent="0.35">
      <c r="A40" s="8" t="s">
        <v>10</v>
      </c>
    </row>
    <row r="41" spans="1:1" x14ac:dyDescent="0.3">
      <c r="A41" s="9" t="s">
        <v>12</v>
      </c>
    </row>
    <row r="42" spans="1:1" ht="37.5" x14ac:dyDescent="0.3">
      <c r="A42" s="7" t="s">
        <v>35</v>
      </c>
    </row>
    <row r="43" spans="1:1" x14ac:dyDescent="0.3">
      <c r="A43" s="5" t="s">
        <v>13</v>
      </c>
    </row>
    <row r="44" spans="1:1" x14ac:dyDescent="0.3">
      <c r="A44" s="5" t="s">
        <v>14</v>
      </c>
    </row>
    <row r="45" spans="1:1" ht="19.5" thickBot="1" x14ac:dyDescent="0.35">
      <c r="A45" s="6" t="s">
        <v>15</v>
      </c>
    </row>
    <row r="46" spans="1:1" x14ac:dyDescent="0.3">
      <c r="A46" s="9" t="s">
        <v>11</v>
      </c>
    </row>
    <row r="47" spans="1:1" x14ac:dyDescent="0.3">
      <c r="A47" s="5" t="s">
        <v>36</v>
      </c>
    </row>
    <row r="48" spans="1:1" x14ac:dyDescent="0.3">
      <c r="A48" s="5" t="s">
        <v>37</v>
      </c>
    </row>
    <row r="49" spans="1:1" ht="37.5" x14ac:dyDescent="0.3">
      <c r="A49" s="7" t="s">
        <v>38</v>
      </c>
    </row>
    <row r="50" spans="1:1" x14ac:dyDescent="0.3">
      <c r="A50" s="5" t="s">
        <v>41</v>
      </c>
    </row>
    <row r="51" spans="1:1" x14ac:dyDescent="0.3">
      <c r="A51" s="5" t="s">
        <v>39</v>
      </c>
    </row>
    <row r="52" spans="1:1" ht="19.5" thickBot="1" x14ac:dyDescent="0.35">
      <c r="A52" s="6" t="s">
        <v>40</v>
      </c>
    </row>
    <row r="53" spans="1:1" ht="19.5" thickBot="1" x14ac:dyDescent="0.35">
      <c r="A53" s="22" t="s">
        <v>54</v>
      </c>
    </row>
    <row r="54" spans="1:1" x14ac:dyDescent="0.3">
      <c r="A54" s="23" t="s">
        <v>55</v>
      </c>
    </row>
  </sheetData>
  <mergeCells count="1">
    <mergeCell ref="A2:G2"/>
  </mergeCells>
  <conditionalFormatting sqref="A37">
    <cfRule type="containsText" dxfId="171" priority="40" operator="containsText" text="North S.">
      <formula>NOT(ISERROR(SEARCH("North S.",A37)))</formula>
    </cfRule>
    <cfRule type="containsText" dxfId="170" priority="41" operator="containsText" text="NS">
      <formula>NOT(ISERROR(SEARCH("NS",A37)))</formula>
    </cfRule>
    <cfRule type="containsText" dxfId="169" priority="42" operator="containsText" text="Alante">
      <formula>NOT(ISERROR(SEARCH("Alante",A37)))</formula>
    </cfRule>
    <cfRule type="containsText" dxfId="168" priority="43" operator="containsText" text="Alante">
      <formula>NOT(ISERROR(SEARCH("Alante",A37)))</formula>
    </cfRule>
    <cfRule type="containsText" dxfId="167" priority="44" operator="containsText" text="Alumus">
      <formula>NOT(ISERROR(SEARCH("Alumus",A37)))</formula>
    </cfRule>
    <cfRule type="containsText" dxfId="166" priority="45" operator="containsText" text="Aleca">
      <formula>NOT(ISERROR(SEARCH("Aleca",A37)))</formula>
    </cfRule>
    <cfRule type="containsText" dxfId="165" priority="46" operator="containsText" text="M&amp;R">
      <formula>NOT(ISERROR(SEARCH("M&amp;R",A37)))</formula>
    </cfRule>
    <cfRule type="containsText" dxfId="164" priority="47" operator="containsText" text="Chandler">
      <formula>NOT(ISERROR(SEARCH("Chandler",A37)))</formula>
    </cfRule>
    <cfRule type="containsText" dxfId="163" priority="48" operator="containsText" text="Mesa">
      <formula>NOT(ISERROR(SEARCH("Mesa",A37)))</formula>
    </cfRule>
  </conditionalFormatting>
  <conditionalFormatting sqref="A38:A54">
    <cfRule type="containsText" dxfId="162" priority="19" operator="containsText" text="M&amp;R">
      <formula>NOT(ISERROR(SEARCH("M&amp;R",A38)))</formula>
    </cfRule>
    <cfRule type="containsText" dxfId="161" priority="20" operator="containsText" text="North S.">
      <formula>NOT(ISERROR(SEARCH("North S.",A38)))</formula>
    </cfRule>
    <cfRule type="containsText" dxfId="160" priority="21" operator="containsText" text="NS">
      <formula>NOT(ISERROR(SEARCH("NS",A38)))</formula>
    </cfRule>
    <cfRule type="containsText" dxfId="159" priority="22" operator="containsText" text="Alante">
      <formula>NOT(ISERROR(SEARCH("Alante",A38)))</formula>
    </cfRule>
    <cfRule type="containsText" dxfId="158" priority="23" operator="containsText" text="Alante">
      <formula>NOT(ISERROR(SEARCH("Alante",A38)))</formula>
    </cfRule>
    <cfRule type="containsText" dxfId="157" priority="24" operator="containsText" text="Alumus">
      <formula>NOT(ISERROR(SEARCH("Alumus",A38)))</formula>
    </cfRule>
    <cfRule type="containsText" dxfId="156" priority="25" operator="containsText" text="Aleca">
      <formula>NOT(ISERROR(SEARCH("Aleca",A38)))</formula>
    </cfRule>
    <cfRule type="containsText" dxfId="155" priority="27" operator="containsText" text="Chandler">
      <formula>NOT(ISERROR(SEARCH("Chandler",A38)))</formula>
    </cfRule>
    <cfRule type="containsText" dxfId="154" priority="28" operator="containsText" text="Mesa">
      <formula>NOT(ISERROR(SEARCH("Mesa",A38)))</formula>
    </cfRule>
  </conditionalFormatting>
  <conditionalFormatting sqref="A53">
    <cfRule type="containsText" dxfId="153" priority="5" operator="containsText" text="MKT: ">
      <formula>NOT(ISERROR(SEARCH("MKT: ",A53)))</formula>
    </cfRule>
    <cfRule type="containsText" dxfId="152" priority="8" operator="containsText" text="MKT: ">
      <formula>NOT(ISERROR(SEARCH("MKT: ",A53)))</formula>
    </cfRule>
    <cfRule type="containsText" dxfId="151" priority="10" operator="containsText" text="MKT:">
      <formula>NOT(ISERROR(SEARCH("MKT:",A53)))</formula>
    </cfRule>
  </conditionalFormatting>
  <conditionalFormatting sqref="A53:A54">
    <cfRule type="containsText" dxfId="150" priority="6" operator="containsText" text="REC: ">
      <formula>NOT(ISERROR(SEARCH("REC: ",A53)))</formula>
    </cfRule>
  </conditionalFormatting>
  <conditionalFormatting sqref="A54">
    <cfRule type="containsText" dxfId="149" priority="9" operator="containsText" text="REC:">
      <formula>NOT(ISERROR(SEARCH("REC:",A54)))</formula>
    </cfRule>
  </conditionalFormatting>
  <conditionalFormatting sqref="A2:XFD36 B37:XFD54 A55:XFD1048576">
    <cfRule type="containsText" dxfId="148" priority="58" operator="containsText" text="North S.">
      <formula>NOT(ISERROR(SEARCH("North S.",A2)))</formula>
    </cfRule>
    <cfRule type="containsText" dxfId="147" priority="59" operator="containsText" text="NS">
      <formula>NOT(ISERROR(SEARCH("NS",A2)))</formula>
    </cfRule>
    <cfRule type="containsText" dxfId="146" priority="60" operator="containsText" text="Alante">
      <formula>NOT(ISERROR(SEARCH("Alante",A2)))</formula>
    </cfRule>
    <cfRule type="containsText" dxfId="145" priority="61" operator="containsText" text="Alante">
      <formula>NOT(ISERROR(SEARCH("Alante",A2)))</formula>
    </cfRule>
    <cfRule type="containsText" dxfId="144" priority="62" operator="containsText" text="Alumus">
      <formula>NOT(ISERROR(SEARCH("Alumus",A2)))</formula>
    </cfRule>
    <cfRule type="containsText" dxfId="143" priority="63" operator="containsText" text="Aleca">
      <formula>NOT(ISERROR(SEARCH("Aleca",A2)))</formula>
    </cfRule>
    <cfRule type="containsText" dxfId="142" priority="64" operator="containsText" text="M&amp;R">
      <formula>NOT(ISERROR(SEARCH("M&amp;R",A2)))</formula>
    </cfRule>
    <cfRule type="containsText" dxfId="141" priority="65" operator="containsText" text="Chandler">
      <formula>NOT(ISERROR(SEARCH("Chandler",A2)))</formula>
    </cfRule>
    <cfRule type="containsText" dxfId="140" priority="66" operator="containsText" text="Mesa">
      <formula>NOT(ISERROR(SEARCH("Mesa",A2)))</formula>
    </cfRule>
  </conditionalFormatting>
  <conditionalFormatting sqref="A2:XFD1048576">
    <cfRule type="containsText" dxfId="139" priority="3" operator="containsText" text="REC: ">
      <formula>NOT(ISERROR(SEARCH("REC: ",A2)))</formula>
    </cfRule>
    <cfRule type="containsText" dxfId="138" priority="4" operator="containsText" text="MKT: ">
      <formula>NOT(ISERROR(SEARCH("MKT: ",A2)))</formula>
    </cfRule>
    <cfRule type="containsText" dxfId="137" priority="11" operator="containsText" text="RC: ">
      <formula>NOT(ISERROR(SEARCH("RC: ",A2)))</formula>
    </cfRule>
    <cfRule type="containsText" dxfId="136" priority="12" operator="containsText" text="LC: ">
      <formula>NOT(ISERROR(SEARCH("LC: ",A2)))</formula>
    </cfRule>
    <cfRule type="containsText" dxfId="135" priority="13" operator="containsText" text="Ridge: ">
      <formula>NOT(ISERROR(SEARCH("Ridge: ",A2)))</formula>
    </cfRule>
    <cfRule type="containsText" dxfId="134" priority="14" operator="containsText" text="NWL: ">
      <formula>NOT(ISERROR(SEARCH("NWL: ",A2)))</formula>
    </cfRule>
    <cfRule type="containsText" dxfId="133" priority="15" operator="containsText" text="CM: ">
      <formula>NOT(ISERROR(SEARCH("CM: ",A2)))</formula>
    </cfRule>
    <cfRule type="containsText" dxfId="132" priority="16" operator="containsText" text="C!: ">
      <formula>NOT(ISERROR(SEARCH("C!: ",A2)))</formula>
    </cfRule>
    <cfRule type="containsText" dxfId="131" priority="17" operator="containsText" text="CI: ">
      <formula>NOT(ISERROR(SEARCH("CI: ",A2)))</formula>
    </cfRule>
    <cfRule type="containsText" dxfId="130" priority="18" operator="containsText" text="Surprise">
      <formula>NOT(ISERROR(SEARCH("Surprise",A2)))</formula>
    </cfRule>
    <cfRule type="containsText" dxfId="129" priority="26" operator="containsText" text="M&amp;R">
      <formula>NOT(ISERROR(SEARCH("M&amp;R",A2)))</formula>
    </cfRule>
  </conditionalFormatting>
  <conditionalFormatting sqref="A1:XFD1">
    <cfRule type="containsText" dxfId="128" priority="1" operator="containsText" text="REC: ">
      <formula>NOT(ISERROR(SEARCH("REC: ",A1)))</formula>
    </cfRule>
    <cfRule type="containsText" dxfId="127" priority="2" operator="containsText" text="MKT: ">
      <formula>NOT(ISERROR(SEARCH("MKT: ",A1)))</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0CD75-C559-40FD-A1CA-AEAEA3E64D34}">
  <sheetPr codeName="Sheet11"/>
  <dimension ref="A1:I49"/>
  <sheetViews>
    <sheetView zoomScaleNormal="100" workbookViewId="0"/>
  </sheetViews>
  <sheetFormatPr defaultColWidth="27.140625" defaultRowHeight="18.75" x14ac:dyDescent="0.3"/>
  <cols>
    <col min="1" max="7" width="27.140625" style="1"/>
    <col min="8" max="8" width="4.5703125" style="1" customWidth="1"/>
    <col min="9" max="16384" width="27.140625" style="1"/>
  </cols>
  <sheetData>
    <row r="1" spans="1:9" s="38" customFormat="1" ht="33" customHeight="1" thickBot="1" x14ac:dyDescent="0.3">
      <c r="A1" s="39"/>
    </row>
    <row r="2" spans="1:9" ht="31.5" x14ac:dyDescent="0.5">
      <c r="A2" s="157" t="s">
        <v>34</v>
      </c>
      <c r="B2" s="158"/>
      <c r="C2" s="158"/>
      <c r="D2" s="158"/>
      <c r="E2" s="158"/>
      <c r="F2" s="158"/>
      <c r="G2" s="158"/>
    </row>
    <row r="3" spans="1:9" ht="19.5" thickBot="1" x14ac:dyDescent="0.35"/>
    <row r="4" spans="1:9" ht="19.5" thickBot="1" x14ac:dyDescent="0.35">
      <c r="A4" s="2" t="s">
        <v>0</v>
      </c>
      <c r="B4" s="2" t="s">
        <v>1</v>
      </c>
      <c r="C4" s="2" t="s">
        <v>2</v>
      </c>
      <c r="D4" s="2" t="s">
        <v>3</v>
      </c>
      <c r="E4" s="2" t="s">
        <v>4</v>
      </c>
      <c r="F4" s="2" t="s">
        <v>5</v>
      </c>
      <c r="G4" s="2" t="s">
        <v>6</v>
      </c>
    </row>
    <row r="5" spans="1:9" x14ac:dyDescent="0.3">
      <c r="A5" s="3"/>
      <c r="B5" s="3">
        <f t="shared" ref="B5:F5" si="0">A5+1</f>
        <v>1</v>
      </c>
      <c r="C5" s="3">
        <f t="shared" si="0"/>
        <v>2</v>
      </c>
      <c r="D5" s="3">
        <f t="shared" si="0"/>
        <v>3</v>
      </c>
      <c r="E5" s="3">
        <f t="shared" si="0"/>
        <v>4</v>
      </c>
      <c r="F5" s="3">
        <f t="shared" si="0"/>
        <v>5</v>
      </c>
      <c r="G5" s="3">
        <f>F5+1</f>
        <v>6</v>
      </c>
      <c r="I5" s="4"/>
    </row>
    <row r="6" spans="1:9" x14ac:dyDescent="0.3">
      <c r="A6" s="5"/>
      <c r="B6" s="5"/>
      <c r="C6" s="5"/>
      <c r="D6" s="5"/>
      <c r="E6" s="5"/>
      <c r="F6" s="5"/>
      <c r="G6" s="5"/>
      <c r="I6" s="4"/>
    </row>
    <row r="7" spans="1:9" x14ac:dyDescent="0.3">
      <c r="A7" s="5"/>
      <c r="B7" s="5"/>
      <c r="C7" s="5"/>
      <c r="D7" s="5"/>
      <c r="E7" s="5"/>
      <c r="F7" s="5"/>
      <c r="G7" s="5"/>
      <c r="I7" s="4"/>
    </row>
    <row r="8" spans="1:9" x14ac:dyDescent="0.3">
      <c r="A8" s="5"/>
      <c r="B8" s="5"/>
      <c r="C8" s="5"/>
      <c r="D8" s="5"/>
      <c r="E8" s="5"/>
      <c r="F8" s="5"/>
      <c r="G8" s="5"/>
      <c r="I8" s="4"/>
    </row>
    <row r="9" spans="1:9" ht="19.5" thickBot="1" x14ac:dyDescent="0.35">
      <c r="A9" s="6"/>
      <c r="B9" s="6"/>
      <c r="C9" s="6"/>
      <c r="D9" s="6"/>
      <c r="E9" s="6"/>
      <c r="F9" s="6"/>
      <c r="G9" s="6"/>
    </row>
    <row r="10" spans="1:9" x14ac:dyDescent="0.3">
      <c r="A10" s="3">
        <f>G5+1</f>
        <v>7</v>
      </c>
      <c r="B10" s="3">
        <f t="shared" ref="B10:E10" si="1">A10+1</f>
        <v>8</v>
      </c>
      <c r="C10" s="3">
        <f t="shared" si="1"/>
        <v>9</v>
      </c>
      <c r="D10" s="3">
        <f t="shared" si="1"/>
        <v>10</v>
      </c>
      <c r="E10" s="3">
        <f t="shared" si="1"/>
        <v>11</v>
      </c>
      <c r="F10" s="3">
        <f>E10+1</f>
        <v>12</v>
      </c>
      <c r="G10" s="3">
        <f>F10+1</f>
        <v>13</v>
      </c>
    </row>
    <row r="11" spans="1:9" x14ac:dyDescent="0.3">
      <c r="A11" s="5"/>
      <c r="B11" s="5"/>
      <c r="C11" s="5"/>
      <c r="D11" s="5"/>
      <c r="E11" s="5"/>
      <c r="F11" s="7"/>
      <c r="G11" s="7"/>
    </row>
    <row r="12" spans="1:9" x14ac:dyDescent="0.3">
      <c r="A12" s="5"/>
      <c r="B12" s="5"/>
      <c r="C12" s="5"/>
      <c r="D12" s="5"/>
      <c r="E12" s="5"/>
      <c r="F12" s="5"/>
      <c r="G12" s="5"/>
    </row>
    <row r="13" spans="1:9" x14ac:dyDescent="0.3">
      <c r="A13" s="5"/>
      <c r="B13" s="5"/>
      <c r="C13" s="5"/>
      <c r="D13" s="5"/>
      <c r="E13" s="5"/>
      <c r="F13" s="5"/>
      <c r="G13" s="5"/>
      <c r="I13" s="4"/>
    </row>
    <row r="14" spans="1:9" ht="19.5" thickBot="1" x14ac:dyDescent="0.35">
      <c r="A14" s="6"/>
      <c r="B14" s="6"/>
      <c r="C14" s="6"/>
      <c r="D14" s="6"/>
      <c r="E14" s="6"/>
      <c r="F14" s="6"/>
      <c r="G14" s="6"/>
    </row>
    <row r="15" spans="1:9" x14ac:dyDescent="0.3">
      <c r="A15" s="3">
        <f>G10+1</f>
        <v>14</v>
      </c>
      <c r="B15" s="3">
        <f t="shared" ref="B15:E15" si="2">A15+1</f>
        <v>15</v>
      </c>
      <c r="C15" s="3">
        <f t="shared" si="2"/>
        <v>16</v>
      </c>
      <c r="D15" s="3">
        <f t="shared" si="2"/>
        <v>17</v>
      </c>
      <c r="E15" s="3">
        <f t="shared" si="2"/>
        <v>18</v>
      </c>
      <c r="F15" s="3">
        <f>E15+1</f>
        <v>19</v>
      </c>
      <c r="G15" s="3">
        <f>F15+1</f>
        <v>20</v>
      </c>
    </row>
    <row r="16" spans="1:9" x14ac:dyDescent="0.3">
      <c r="A16" s="5"/>
      <c r="B16" s="7"/>
      <c r="D16" s="7"/>
      <c r="E16" s="7"/>
      <c r="F16" s="7"/>
      <c r="G16" s="5"/>
    </row>
    <row r="17" spans="1:7" x14ac:dyDescent="0.3">
      <c r="A17" s="5"/>
      <c r="B17" s="5"/>
      <c r="C17" s="5"/>
      <c r="D17" s="5"/>
      <c r="E17" s="7"/>
      <c r="F17" s="5"/>
      <c r="G17" s="5"/>
    </row>
    <row r="18" spans="1:7" x14ac:dyDescent="0.3">
      <c r="A18" s="5"/>
      <c r="B18" s="5"/>
      <c r="C18" s="5"/>
      <c r="D18" s="5"/>
      <c r="E18" s="5"/>
      <c r="F18" s="5"/>
      <c r="G18" s="5"/>
    </row>
    <row r="19" spans="1:7" ht="19.5" thickBot="1" x14ac:dyDescent="0.35">
      <c r="A19" s="6"/>
      <c r="B19" s="6"/>
      <c r="C19" s="6"/>
      <c r="D19" s="6"/>
      <c r="E19" s="6"/>
      <c r="F19" s="6"/>
      <c r="G19" s="6"/>
    </row>
    <row r="20" spans="1:7" x14ac:dyDescent="0.3">
      <c r="A20" s="3">
        <f>G15+1</f>
        <v>21</v>
      </c>
      <c r="B20" s="3">
        <f t="shared" ref="B20:E20" si="3">A20+1</f>
        <v>22</v>
      </c>
      <c r="C20" s="3">
        <f t="shared" si="3"/>
        <v>23</v>
      </c>
      <c r="D20" s="3">
        <f t="shared" si="3"/>
        <v>24</v>
      </c>
      <c r="E20" s="3">
        <f t="shared" si="3"/>
        <v>25</v>
      </c>
      <c r="F20" s="3">
        <f>E20+1</f>
        <v>26</v>
      </c>
      <c r="G20" s="3">
        <f>F20+1</f>
        <v>27</v>
      </c>
    </row>
    <row r="21" spans="1:7" x14ac:dyDescent="0.3">
      <c r="A21" s="5"/>
      <c r="B21" s="7"/>
      <c r="C21" s="5"/>
      <c r="D21" s="5"/>
      <c r="E21" s="5"/>
      <c r="F21" s="5"/>
      <c r="G21" s="5"/>
    </row>
    <row r="22" spans="1:7" x14ac:dyDescent="0.3">
      <c r="A22" s="5"/>
      <c r="B22" s="7"/>
      <c r="C22" s="5"/>
      <c r="D22" s="5"/>
      <c r="E22" s="5"/>
      <c r="F22" s="5"/>
      <c r="G22" s="5"/>
    </row>
    <row r="23" spans="1:7" x14ac:dyDescent="0.3">
      <c r="A23" s="5"/>
      <c r="B23" s="5"/>
      <c r="C23" s="5"/>
      <c r="D23" s="5"/>
      <c r="E23" s="5"/>
      <c r="F23" s="5"/>
      <c r="G23" s="5"/>
    </row>
    <row r="24" spans="1:7" ht="19.5" thickBot="1" x14ac:dyDescent="0.35">
      <c r="A24" s="6"/>
      <c r="B24" s="6"/>
      <c r="C24" s="6"/>
      <c r="D24" s="6"/>
      <c r="E24" s="6"/>
      <c r="F24" s="6"/>
      <c r="G24" s="6"/>
    </row>
    <row r="25" spans="1:7" x14ac:dyDescent="0.3">
      <c r="A25" s="3">
        <f>G20+1</f>
        <v>28</v>
      </c>
      <c r="B25" s="3">
        <f t="shared" ref="B25:D25" si="4">A25+1</f>
        <v>29</v>
      </c>
      <c r="C25" s="3">
        <f t="shared" si="4"/>
        <v>30</v>
      </c>
      <c r="D25" s="3">
        <f t="shared" si="4"/>
        <v>31</v>
      </c>
    </row>
    <row r="26" spans="1:7" x14ac:dyDescent="0.3">
      <c r="A26" s="5"/>
      <c r="B26" s="5"/>
      <c r="C26" s="5"/>
      <c r="D26" s="5"/>
    </row>
    <row r="27" spans="1:7" x14ac:dyDescent="0.3">
      <c r="A27" s="5"/>
      <c r="B27" s="5"/>
      <c r="C27" s="5"/>
      <c r="D27" s="5"/>
    </row>
    <row r="28" spans="1:7" x14ac:dyDescent="0.3">
      <c r="A28" s="5"/>
      <c r="B28" s="5"/>
      <c r="C28" s="5"/>
      <c r="D28" s="5"/>
    </row>
    <row r="29" spans="1:7" ht="19.5" thickBot="1" x14ac:dyDescent="0.35">
      <c r="A29" s="6"/>
      <c r="B29" s="6"/>
      <c r="C29" s="6"/>
      <c r="D29" s="6"/>
    </row>
    <row r="32" spans="1:7" ht="19.5" thickBot="1" x14ac:dyDescent="0.35"/>
    <row r="33" spans="1:1" ht="19.5" thickBot="1" x14ac:dyDescent="0.35">
      <c r="A33" s="8" t="s">
        <v>8</v>
      </c>
    </row>
    <row r="34" spans="1:1" ht="19.5" thickBot="1" x14ac:dyDescent="0.35">
      <c r="A34" s="8" t="s">
        <v>9</v>
      </c>
    </row>
    <row r="35" spans="1:1" ht="19.5" thickBot="1" x14ac:dyDescent="0.35">
      <c r="A35" s="8" t="s">
        <v>10</v>
      </c>
    </row>
    <row r="36" spans="1:1" x14ac:dyDescent="0.3">
      <c r="A36" s="9" t="s">
        <v>12</v>
      </c>
    </row>
    <row r="37" spans="1:1" ht="37.5" x14ac:dyDescent="0.3">
      <c r="A37" s="7" t="s">
        <v>35</v>
      </c>
    </row>
    <row r="38" spans="1:1" x14ac:dyDescent="0.3">
      <c r="A38" s="5" t="s">
        <v>13</v>
      </c>
    </row>
    <row r="39" spans="1:1" x14ac:dyDescent="0.3">
      <c r="A39" s="5" t="s">
        <v>14</v>
      </c>
    </row>
    <row r="40" spans="1:1" ht="19.5" thickBot="1" x14ac:dyDescent="0.35">
      <c r="A40" s="6" t="s">
        <v>15</v>
      </c>
    </row>
    <row r="41" spans="1:1" x14ac:dyDescent="0.3">
      <c r="A41" s="9" t="s">
        <v>11</v>
      </c>
    </row>
    <row r="42" spans="1:1" x14ac:dyDescent="0.3">
      <c r="A42" s="5" t="s">
        <v>36</v>
      </c>
    </row>
    <row r="43" spans="1:1" x14ac:dyDescent="0.3">
      <c r="A43" s="5" t="s">
        <v>37</v>
      </c>
    </row>
    <row r="44" spans="1:1" ht="37.5" x14ac:dyDescent="0.3">
      <c r="A44" s="7" t="s">
        <v>38</v>
      </c>
    </row>
    <row r="45" spans="1:1" x14ac:dyDescent="0.3">
      <c r="A45" s="5" t="s">
        <v>41</v>
      </c>
    </row>
    <row r="46" spans="1:1" x14ac:dyDescent="0.3">
      <c r="A46" s="5" t="s">
        <v>39</v>
      </c>
    </row>
    <row r="47" spans="1:1" ht="19.5" thickBot="1" x14ac:dyDescent="0.35">
      <c r="A47" s="6" t="s">
        <v>40</v>
      </c>
    </row>
    <row r="48" spans="1:1" ht="19.5" thickBot="1" x14ac:dyDescent="0.35">
      <c r="A48" s="22" t="s">
        <v>54</v>
      </c>
    </row>
    <row r="49" spans="1:1" x14ac:dyDescent="0.3">
      <c r="A49" s="23" t="s">
        <v>55</v>
      </c>
    </row>
  </sheetData>
  <mergeCells count="1">
    <mergeCell ref="A2:G2"/>
  </mergeCells>
  <conditionalFormatting sqref="A32">
    <cfRule type="containsText" dxfId="126" priority="42" operator="containsText" text="North S.">
      <formula>NOT(ISERROR(SEARCH("North S.",A32)))</formula>
    </cfRule>
    <cfRule type="containsText" dxfId="125" priority="43" operator="containsText" text="NS">
      <formula>NOT(ISERROR(SEARCH("NS",A32)))</formula>
    </cfRule>
    <cfRule type="containsText" dxfId="124" priority="44" operator="containsText" text="Alante">
      <formula>NOT(ISERROR(SEARCH("Alante",A32)))</formula>
    </cfRule>
    <cfRule type="containsText" dxfId="123" priority="45" operator="containsText" text="Alante">
      <formula>NOT(ISERROR(SEARCH("Alante",A32)))</formula>
    </cfRule>
    <cfRule type="containsText" dxfId="122" priority="46" operator="containsText" text="Alumus">
      <formula>NOT(ISERROR(SEARCH("Alumus",A32)))</formula>
    </cfRule>
    <cfRule type="containsText" dxfId="121" priority="47" operator="containsText" text="Aleca">
      <formula>NOT(ISERROR(SEARCH("Aleca",A32)))</formula>
    </cfRule>
    <cfRule type="containsText" dxfId="120" priority="48" operator="containsText" text="M&amp;R">
      <formula>NOT(ISERROR(SEARCH("M&amp;R",A32)))</formula>
    </cfRule>
    <cfRule type="containsText" dxfId="119" priority="49" operator="containsText" text="Chandler">
      <formula>NOT(ISERROR(SEARCH("Chandler",A32)))</formula>
    </cfRule>
    <cfRule type="containsText" dxfId="118" priority="50" operator="containsText" text="Mesa">
      <formula>NOT(ISERROR(SEARCH("Mesa",A32)))</formula>
    </cfRule>
  </conditionalFormatting>
  <conditionalFormatting sqref="A33:A49">
    <cfRule type="containsText" dxfId="117" priority="21" operator="containsText" text="M&amp;R">
      <formula>NOT(ISERROR(SEARCH("M&amp;R",A33)))</formula>
    </cfRule>
    <cfRule type="containsText" dxfId="116" priority="22" operator="containsText" text="North S.">
      <formula>NOT(ISERROR(SEARCH("North S.",A33)))</formula>
    </cfRule>
    <cfRule type="containsText" dxfId="115" priority="23" operator="containsText" text="NS">
      <formula>NOT(ISERROR(SEARCH("NS",A33)))</formula>
    </cfRule>
    <cfRule type="containsText" dxfId="114" priority="24" operator="containsText" text="Alante">
      <formula>NOT(ISERROR(SEARCH("Alante",A33)))</formula>
    </cfRule>
    <cfRule type="containsText" dxfId="113" priority="25" operator="containsText" text="Alante">
      <formula>NOT(ISERROR(SEARCH("Alante",A33)))</formula>
    </cfRule>
    <cfRule type="containsText" dxfId="112" priority="26" operator="containsText" text="Alumus">
      <formula>NOT(ISERROR(SEARCH("Alumus",A33)))</formula>
    </cfRule>
    <cfRule type="containsText" dxfId="111" priority="27" operator="containsText" text="Aleca">
      <formula>NOT(ISERROR(SEARCH("Aleca",A33)))</formula>
    </cfRule>
    <cfRule type="containsText" dxfId="110" priority="29" operator="containsText" text="Chandler">
      <formula>NOT(ISERROR(SEARCH("Chandler",A33)))</formula>
    </cfRule>
    <cfRule type="containsText" dxfId="109" priority="30" operator="containsText" text="Mesa">
      <formula>NOT(ISERROR(SEARCH("Mesa",A33)))</formula>
    </cfRule>
  </conditionalFormatting>
  <conditionalFormatting sqref="A48">
    <cfRule type="containsText" dxfId="108" priority="7" operator="containsText" text="MKT: ">
      <formula>NOT(ISERROR(SEARCH("MKT: ",A48)))</formula>
    </cfRule>
    <cfRule type="containsText" dxfId="107" priority="10" operator="containsText" text="MKT: ">
      <formula>NOT(ISERROR(SEARCH("MKT: ",A48)))</formula>
    </cfRule>
    <cfRule type="containsText" dxfId="106" priority="12" operator="containsText" text="MKT:">
      <formula>NOT(ISERROR(SEARCH("MKT:",A48)))</formula>
    </cfRule>
  </conditionalFormatting>
  <conditionalFormatting sqref="A48:A49">
    <cfRule type="containsText" dxfId="105" priority="8" operator="containsText" text="REC: ">
      <formula>NOT(ISERROR(SEARCH("REC: ",A48)))</formula>
    </cfRule>
  </conditionalFormatting>
  <conditionalFormatting sqref="A49">
    <cfRule type="containsText" dxfId="104" priority="11" operator="containsText" text="REC:">
      <formula>NOT(ISERROR(SEARCH("REC:",A49)))</formula>
    </cfRule>
  </conditionalFormatting>
  <conditionalFormatting sqref="A2:XFD31 B32:XFD49 A50:XFD1048576">
    <cfRule type="containsText" dxfId="103" priority="60" operator="containsText" text="North S.">
      <formula>NOT(ISERROR(SEARCH("North S.",A2)))</formula>
    </cfRule>
    <cfRule type="containsText" dxfId="102" priority="61" operator="containsText" text="NS">
      <formula>NOT(ISERROR(SEARCH("NS",A2)))</formula>
    </cfRule>
    <cfRule type="containsText" dxfId="101" priority="62" operator="containsText" text="Alante">
      <formula>NOT(ISERROR(SEARCH("Alante",A2)))</formula>
    </cfRule>
    <cfRule type="containsText" dxfId="100" priority="63" operator="containsText" text="Alante">
      <formula>NOT(ISERROR(SEARCH("Alante",A2)))</formula>
    </cfRule>
    <cfRule type="containsText" dxfId="99" priority="64" operator="containsText" text="Alumus">
      <formula>NOT(ISERROR(SEARCH("Alumus",A2)))</formula>
    </cfRule>
    <cfRule type="containsText" dxfId="98" priority="65" operator="containsText" text="Aleca">
      <formula>NOT(ISERROR(SEARCH("Aleca",A2)))</formula>
    </cfRule>
    <cfRule type="containsText" dxfId="97" priority="66" operator="containsText" text="M&amp;R">
      <formula>NOT(ISERROR(SEARCH("M&amp;R",A2)))</formula>
    </cfRule>
    <cfRule type="containsText" dxfId="96" priority="67" operator="containsText" text="Chandler">
      <formula>NOT(ISERROR(SEARCH("Chandler",A2)))</formula>
    </cfRule>
    <cfRule type="containsText" dxfId="95" priority="68" operator="containsText" text="Mesa">
      <formula>NOT(ISERROR(SEARCH("Mesa",A2)))</formula>
    </cfRule>
  </conditionalFormatting>
  <conditionalFormatting sqref="A2:XFD1048576">
    <cfRule type="containsText" dxfId="94" priority="5" operator="containsText" text="REC: ">
      <formula>NOT(ISERROR(SEARCH("REC: ",A2)))</formula>
    </cfRule>
    <cfRule type="containsText" dxfId="93" priority="6" operator="containsText" text="MKT: ">
      <formula>NOT(ISERROR(SEARCH("MKT: ",A2)))</formula>
    </cfRule>
    <cfRule type="containsText" dxfId="92" priority="13" operator="containsText" text="RC: ">
      <formula>NOT(ISERROR(SEARCH("RC: ",A2)))</formula>
    </cfRule>
    <cfRule type="containsText" dxfId="91" priority="14" operator="containsText" text="LC: ">
      <formula>NOT(ISERROR(SEARCH("LC: ",A2)))</formula>
    </cfRule>
    <cfRule type="containsText" dxfId="90" priority="15" operator="containsText" text="Ridge: ">
      <formula>NOT(ISERROR(SEARCH("Ridge: ",A2)))</formula>
    </cfRule>
    <cfRule type="containsText" dxfId="89" priority="16" operator="containsText" text="NWL: ">
      <formula>NOT(ISERROR(SEARCH("NWL: ",A2)))</formula>
    </cfRule>
    <cfRule type="containsText" dxfId="88" priority="17" operator="containsText" text="CM: ">
      <formula>NOT(ISERROR(SEARCH("CM: ",A2)))</formula>
    </cfRule>
    <cfRule type="containsText" dxfId="87" priority="18" operator="containsText" text="C!: ">
      <formula>NOT(ISERROR(SEARCH("C!: ",A2)))</formula>
    </cfRule>
    <cfRule type="containsText" dxfId="86" priority="19" operator="containsText" text="CI: ">
      <formula>NOT(ISERROR(SEARCH("CI: ",A2)))</formula>
    </cfRule>
    <cfRule type="containsText" dxfId="85" priority="20" operator="containsText" text="Surprise">
      <formula>NOT(ISERROR(SEARCH("Surprise",A2)))</formula>
    </cfRule>
    <cfRule type="containsText" dxfId="84" priority="28" operator="containsText" text="M&amp;R">
      <formula>NOT(ISERROR(SEARCH("M&amp;R",A2)))</formula>
    </cfRule>
  </conditionalFormatting>
  <conditionalFormatting sqref="A1:XFD1">
    <cfRule type="containsText" dxfId="83" priority="1" operator="containsText" text="REC: ">
      <formula>NOT(ISERROR(SEARCH("REC: ",A1)))</formula>
    </cfRule>
    <cfRule type="containsText" dxfId="82" priority="2" operator="containsText" text="MKT: ">
      <formula>NOT(ISERROR(SEARCH("MKT: ",A1)))</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E5694-3229-4C5E-9355-6F1216D79F97}">
  <sheetPr codeName="Sheet12"/>
  <dimension ref="A1:X1014"/>
  <sheetViews>
    <sheetView zoomScaleNormal="100" workbookViewId="0">
      <pane ySplit="1" topLeftCell="A70" activePane="bottomLeft" state="frozen"/>
      <selection pane="bottomLeft" activeCell="A70" sqref="A70"/>
    </sheetView>
  </sheetViews>
  <sheetFormatPr defaultRowHeight="15" x14ac:dyDescent="0.25"/>
  <cols>
    <col min="1" max="11" width="9.140625" style="10"/>
    <col min="12" max="12" width="9.140625" style="10" customWidth="1"/>
    <col min="13" max="16384" width="9.140625" style="10"/>
  </cols>
  <sheetData>
    <row r="1" spans="1:14" s="71" customFormat="1" ht="27.75" customHeight="1" x14ac:dyDescent="0.25"/>
    <row r="2" spans="1:14" ht="27" thickBot="1" x14ac:dyDescent="0.45">
      <c r="A2" s="176" t="s">
        <v>78</v>
      </c>
      <c r="B2" s="177"/>
      <c r="C2" s="177"/>
      <c r="D2" s="177"/>
      <c r="E2" s="177"/>
      <c r="F2" s="177"/>
      <c r="G2" s="177"/>
      <c r="H2" s="177"/>
      <c r="I2" s="177"/>
      <c r="J2" s="177"/>
      <c r="K2" s="177"/>
      <c r="L2" s="177"/>
      <c r="M2" s="177"/>
      <c r="N2" s="178"/>
    </row>
    <row r="3" spans="1:14" x14ac:dyDescent="0.25">
      <c r="A3" s="25"/>
      <c r="B3" s="26"/>
      <c r="C3" s="26"/>
      <c r="D3" s="26"/>
      <c r="E3" s="26"/>
      <c r="F3" s="26"/>
      <c r="G3" s="26"/>
      <c r="H3" s="26"/>
      <c r="I3" s="26"/>
      <c r="J3" s="26"/>
      <c r="K3" s="26"/>
      <c r="L3" s="26"/>
      <c r="M3" s="26"/>
      <c r="N3" s="27"/>
    </row>
    <row r="4" spans="1:14" ht="15.75" x14ac:dyDescent="0.25">
      <c r="A4" s="13" t="s">
        <v>43</v>
      </c>
      <c r="E4" s="14" t="s">
        <v>47</v>
      </c>
      <c r="N4" s="12"/>
    </row>
    <row r="5" spans="1:14" x14ac:dyDescent="0.25">
      <c r="A5" s="11"/>
      <c r="F5" s="19" t="b">
        <v>0</v>
      </c>
      <c r="G5" s="18" t="s">
        <v>49</v>
      </c>
      <c r="H5" s="19" t="b">
        <v>0</v>
      </c>
      <c r="I5" s="10" t="s">
        <v>48</v>
      </c>
      <c r="N5" s="12"/>
    </row>
    <row r="6" spans="1:14" x14ac:dyDescent="0.25">
      <c r="A6" s="11"/>
      <c r="N6" s="12"/>
    </row>
    <row r="7" spans="1:14" x14ac:dyDescent="0.25">
      <c r="A7" s="11"/>
      <c r="N7" s="12"/>
    </row>
    <row r="8" spans="1:14" ht="15.75" x14ac:dyDescent="0.25">
      <c r="A8" s="13" t="s">
        <v>44</v>
      </c>
      <c r="G8" s="20" t="s">
        <v>50</v>
      </c>
      <c r="K8" s="10" t="s">
        <v>68</v>
      </c>
      <c r="N8" s="12"/>
    </row>
    <row r="9" spans="1:14" ht="15.75" x14ac:dyDescent="0.25">
      <c r="A9" s="13"/>
      <c r="N9" s="12"/>
    </row>
    <row r="10" spans="1:14" x14ac:dyDescent="0.25">
      <c r="A10" s="11"/>
      <c r="N10" s="12"/>
    </row>
    <row r="11" spans="1:14" x14ac:dyDescent="0.25">
      <c r="A11" s="11"/>
      <c r="N11" s="12"/>
    </row>
    <row r="12" spans="1:14" x14ac:dyDescent="0.25">
      <c r="A12" s="11"/>
      <c r="N12" s="12"/>
    </row>
    <row r="13" spans="1:14" x14ac:dyDescent="0.25">
      <c r="A13" s="11"/>
      <c r="G13" s="20"/>
      <c r="N13" s="12"/>
    </row>
    <row r="14" spans="1:14" ht="15.75" x14ac:dyDescent="0.25">
      <c r="A14" s="13" t="s">
        <v>45</v>
      </c>
      <c r="F14" s="10" t="s">
        <v>51</v>
      </c>
      <c r="N14" s="12"/>
    </row>
    <row r="15" spans="1:14" x14ac:dyDescent="0.25">
      <c r="A15" s="11"/>
      <c r="N15" s="12"/>
    </row>
    <row r="16" spans="1:14" x14ac:dyDescent="0.25">
      <c r="A16" s="11"/>
      <c r="N16" s="12"/>
    </row>
    <row r="17" spans="1:14" x14ac:dyDescent="0.25">
      <c r="A17" s="11"/>
      <c r="N17" s="12"/>
    </row>
    <row r="18" spans="1:14" x14ac:dyDescent="0.25">
      <c r="A18" s="11"/>
      <c r="N18" s="12"/>
    </row>
    <row r="19" spans="1:14" x14ac:dyDescent="0.25">
      <c r="A19" s="11"/>
      <c r="N19" s="12"/>
    </row>
    <row r="20" spans="1:14" ht="15.75" x14ac:dyDescent="0.25">
      <c r="A20" s="13" t="s">
        <v>46</v>
      </c>
      <c r="F20" s="10" t="s">
        <v>52</v>
      </c>
      <c r="N20" s="12"/>
    </row>
    <row r="21" spans="1:14" x14ac:dyDescent="0.25">
      <c r="A21" s="11"/>
      <c r="N21" s="12"/>
    </row>
    <row r="22" spans="1:14" x14ac:dyDescent="0.25">
      <c r="A22" s="11"/>
      <c r="N22" s="12"/>
    </row>
    <row r="23" spans="1:14" x14ac:dyDescent="0.25">
      <c r="A23" s="11"/>
      <c r="N23" s="12"/>
    </row>
    <row r="24" spans="1:14" x14ac:dyDescent="0.25">
      <c r="A24" s="11"/>
      <c r="F24" s="10" t="s">
        <v>79</v>
      </c>
      <c r="N24" s="12"/>
    </row>
    <row r="25" spans="1:14" x14ac:dyDescent="0.25">
      <c r="A25" s="11"/>
      <c r="N25" s="12"/>
    </row>
    <row r="26" spans="1:14" x14ac:dyDescent="0.25">
      <c r="A26" s="11"/>
      <c r="N26" s="12"/>
    </row>
    <row r="27" spans="1:14" x14ac:dyDescent="0.25">
      <c r="A27" s="11"/>
      <c r="N27" s="12"/>
    </row>
    <row r="28" spans="1:14" x14ac:dyDescent="0.25">
      <c r="A28" s="11"/>
      <c r="F28" s="10" t="s">
        <v>70</v>
      </c>
      <c r="N28" s="12"/>
    </row>
    <row r="29" spans="1:14" x14ac:dyDescent="0.25">
      <c r="A29" s="11"/>
      <c r="N29" s="12"/>
    </row>
    <row r="30" spans="1:14" x14ac:dyDescent="0.25">
      <c r="A30" s="11"/>
      <c r="N30" s="12"/>
    </row>
    <row r="31" spans="1:14" x14ac:dyDescent="0.25">
      <c r="A31" s="11" t="s">
        <v>69</v>
      </c>
      <c r="N31" s="12"/>
    </row>
    <row r="32" spans="1:14" x14ac:dyDescent="0.25">
      <c r="A32" s="11"/>
      <c r="F32" s="10" t="s">
        <v>71</v>
      </c>
      <c r="N32" s="12"/>
    </row>
    <row r="33" spans="1:14" x14ac:dyDescent="0.25">
      <c r="A33" s="11"/>
      <c r="N33" s="12"/>
    </row>
    <row r="34" spans="1:14" x14ac:dyDescent="0.25">
      <c r="A34" s="11"/>
      <c r="N34" s="12"/>
    </row>
    <row r="35" spans="1:14" x14ac:dyDescent="0.25">
      <c r="A35" s="11"/>
      <c r="N35" s="12"/>
    </row>
    <row r="36" spans="1:14" x14ac:dyDescent="0.25">
      <c r="A36" s="11"/>
      <c r="F36" s="10" t="s">
        <v>72</v>
      </c>
      <c r="N36" s="12"/>
    </row>
    <row r="37" spans="1:14" x14ac:dyDescent="0.25">
      <c r="A37" s="11"/>
      <c r="N37" s="12"/>
    </row>
    <row r="38" spans="1:14" x14ac:dyDescent="0.25">
      <c r="A38" s="11"/>
      <c r="N38" s="12"/>
    </row>
    <row r="39" spans="1:14" x14ac:dyDescent="0.25">
      <c r="A39" s="11"/>
      <c r="N39" s="12"/>
    </row>
    <row r="40" spans="1:14" ht="15.75" thickBot="1" x14ac:dyDescent="0.3">
      <c r="A40" s="11"/>
      <c r="N40" s="12"/>
    </row>
    <row r="41" spans="1:14" ht="27" thickBot="1" x14ac:dyDescent="0.45">
      <c r="A41" s="165" t="s">
        <v>80</v>
      </c>
      <c r="B41" s="166"/>
      <c r="C41" s="166"/>
      <c r="D41" s="166"/>
      <c r="E41" s="166"/>
      <c r="F41" s="166"/>
      <c r="G41" s="166"/>
      <c r="H41" s="166"/>
      <c r="I41" s="166"/>
      <c r="J41" s="166"/>
      <c r="K41" s="166"/>
      <c r="L41" s="166"/>
      <c r="M41" s="166"/>
      <c r="N41" s="167"/>
    </row>
    <row r="42" spans="1:14" x14ac:dyDescent="0.25">
      <c r="A42" s="25"/>
      <c r="B42" s="26"/>
      <c r="C42" s="26"/>
      <c r="D42" s="26"/>
      <c r="E42" s="26"/>
      <c r="F42" s="26"/>
      <c r="G42" s="26"/>
      <c r="H42" s="26"/>
      <c r="I42" s="26"/>
      <c r="J42" s="26"/>
      <c r="K42" s="26"/>
      <c r="L42" s="26"/>
      <c r="M42" s="26"/>
      <c r="N42" s="27"/>
    </row>
    <row r="43" spans="1:14" ht="15.75" x14ac:dyDescent="0.25">
      <c r="A43" s="13" t="s">
        <v>43</v>
      </c>
      <c r="E43" s="14" t="s">
        <v>47</v>
      </c>
      <c r="N43" s="12"/>
    </row>
    <row r="44" spans="1:14" x14ac:dyDescent="0.25">
      <c r="A44" s="11"/>
      <c r="F44" s="19" t="b">
        <v>0</v>
      </c>
      <c r="G44" s="18" t="s">
        <v>49</v>
      </c>
      <c r="H44" s="19" t="b">
        <v>0</v>
      </c>
      <c r="I44" s="10" t="s">
        <v>48</v>
      </c>
      <c r="N44" s="12"/>
    </row>
    <row r="45" spans="1:14" x14ac:dyDescent="0.25">
      <c r="A45" s="11"/>
      <c r="K45" s="10" t="s">
        <v>68</v>
      </c>
      <c r="N45" s="12"/>
    </row>
    <row r="46" spans="1:14" x14ac:dyDescent="0.25">
      <c r="A46" s="11"/>
      <c r="N46" s="12"/>
    </row>
    <row r="47" spans="1:14" ht="15.75" x14ac:dyDescent="0.25">
      <c r="A47" s="13" t="s">
        <v>44</v>
      </c>
      <c r="G47" s="20" t="s">
        <v>50</v>
      </c>
      <c r="N47" s="12"/>
    </row>
    <row r="48" spans="1:14" ht="15.75" x14ac:dyDescent="0.25">
      <c r="A48" s="13"/>
      <c r="N48" s="12"/>
    </row>
    <row r="49" spans="1:14" x14ac:dyDescent="0.25">
      <c r="A49" s="11"/>
      <c r="N49" s="12"/>
    </row>
    <row r="50" spans="1:14" x14ac:dyDescent="0.25">
      <c r="A50" s="11"/>
      <c r="N50" s="12"/>
    </row>
    <row r="51" spans="1:14" x14ac:dyDescent="0.25">
      <c r="A51" s="11"/>
      <c r="N51" s="12"/>
    </row>
    <row r="52" spans="1:14" x14ac:dyDescent="0.25">
      <c r="A52" s="11"/>
      <c r="G52" s="20"/>
      <c r="N52" s="12"/>
    </row>
    <row r="53" spans="1:14" ht="15.75" x14ac:dyDescent="0.25">
      <c r="A53" s="13" t="s">
        <v>45</v>
      </c>
      <c r="F53" s="10" t="s">
        <v>51</v>
      </c>
      <c r="N53" s="12"/>
    </row>
    <row r="54" spans="1:14" x14ac:dyDescent="0.25">
      <c r="A54" s="11"/>
      <c r="N54" s="12"/>
    </row>
    <row r="55" spans="1:14" x14ac:dyDescent="0.25">
      <c r="A55" s="11"/>
      <c r="N55" s="12"/>
    </row>
    <row r="56" spans="1:14" x14ac:dyDescent="0.25">
      <c r="A56" s="11"/>
      <c r="J56" s="10" t="s">
        <v>71</v>
      </c>
      <c r="N56" s="12"/>
    </row>
    <row r="57" spans="1:14" x14ac:dyDescent="0.25">
      <c r="A57" s="11"/>
      <c r="N57" s="12"/>
    </row>
    <row r="58" spans="1:14" x14ac:dyDescent="0.25">
      <c r="A58" s="11"/>
      <c r="N58" s="12"/>
    </row>
    <row r="59" spans="1:14" ht="15.75" x14ac:dyDescent="0.25">
      <c r="A59" s="13" t="s">
        <v>46</v>
      </c>
      <c r="F59" s="10" t="s">
        <v>52</v>
      </c>
      <c r="N59" s="12"/>
    </row>
    <row r="60" spans="1:14" x14ac:dyDescent="0.25">
      <c r="A60" s="11"/>
      <c r="J60" s="10" t="s">
        <v>72</v>
      </c>
      <c r="N60" s="12"/>
    </row>
    <row r="61" spans="1:14" x14ac:dyDescent="0.25">
      <c r="A61" s="11"/>
      <c r="N61" s="12"/>
    </row>
    <row r="62" spans="1:14" x14ac:dyDescent="0.25">
      <c r="A62" s="11"/>
      <c r="N62" s="12"/>
    </row>
    <row r="63" spans="1:14" x14ac:dyDescent="0.25">
      <c r="A63" s="11"/>
      <c r="F63" s="10" t="s">
        <v>79</v>
      </c>
      <c r="N63" s="12"/>
    </row>
    <row r="64" spans="1:14" x14ac:dyDescent="0.25">
      <c r="A64" s="11"/>
      <c r="N64" s="12"/>
    </row>
    <row r="65" spans="1:14" x14ac:dyDescent="0.25">
      <c r="A65" s="11"/>
      <c r="N65" s="12"/>
    </row>
    <row r="66" spans="1:14" x14ac:dyDescent="0.25">
      <c r="A66" s="11"/>
      <c r="N66" s="12"/>
    </row>
    <row r="67" spans="1:14" x14ac:dyDescent="0.25">
      <c r="A67" s="11"/>
      <c r="F67" s="10" t="s">
        <v>70</v>
      </c>
      <c r="N67" s="12"/>
    </row>
    <row r="68" spans="1:14" x14ac:dyDescent="0.25">
      <c r="A68" s="11"/>
      <c r="N68" s="12"/>
    </row>
    <row r="69" spans="1:14" x14ac:dyDescent="0.25">
      <c r="A69" s="11"/>
      <c r="N69" s="12"/>
    </row>
    <row r="70" spans="1:14" x14ac:dyDescent="0.25">
      <c r="A70" s="11" t="s">
        <v>69</v>
      </c>
      <c r="N70" s="12"/>
    </row>
    <row r="71" spans="1:14" x14ac:dyDescent="0.25">
      <c r="A71" s="11"/>
      <c r="N71" s="12"/>
    </row>
    <row r="72" spans="1:14" x14ac:dyDescent="0.25">
      <c r="A72" s="11"/>
      <c r="N72" s="12"/>
    </row>
    <row r="73" spans="1:14" x14ac:dyDescent="0.25">
      <c r="A73" s="11"/>
      <c r="N73" s="12"/>
    </row>
    <row r="74" spans="1:14" x14ac:dyDescent="0.25">
      <c r="A74" s="11"/>
      <c r="N74" s="12"/>
    </row>
    <row r="75" spans="1:14" x14ac:dyDescent="0.25">
      <c r="A75" s="11"/>
      <c r="N75" s="12"/>
    </row>
    <row r="76" spans="1:14" x14ac:dyDescent="0.25">
      <c r="A76" s="11"/>
      <c r="N76" s="12"/>
    </row>
    <row r="77" spans="1:14" x14ac:dyDescent="0.25">
      <c r="A77" s="11"/>
      <c r="N77" s="12"/>
    </row>
    <row r="78" spans="1:14" x14ac:dyDescent="0.25">
      <c r="A78" s="11"/>
      <c r="N78" s="12"/>
    </row>
    <row r="79" spans="1:14" ht="15.75" thickBot="1" x14ac:dyDescent="0.3">
      <c r="A79" s="15"/>
      <c r="B79" s="16"/>
      <c r="C79" s="16"/>
      <c r="D79" s="16"/>
      <c r="E79" s="16"/>
      <c r="F79" s="16"/>
      <c r="G79" s="16"/>
      <c r="H79" s="16"/>
      <c r="I79" s="16"/>
      <c r="J79" s="16"/>
      <c r="K79" s="16"/>
      <c r="L79" s="16"/>
      <c r="M79" s="16"/>
      <c r="N79" s="17"/>
    </row>
    <row r="80" spans="1:14" ht="27" thickBot="1" x14ac:dyDescent="0.45">
      <c r="A80" s="165" t="s">
        <v>81</v>
      </c>
      <c r="B80" s="166"/>
      <c r="C80" s="166"/>
      <c r="D80" s="166"/>
      <c r="E80" s="166"/>
      <c r="F80" s="166"/>
      <c r="G80" s="166"/>
      <c r="H80" s="166"/>
      <c r="I80" s="166"/>
      <c r="J80" s="166"/>
      <c r="K80" s="166"/>
      <c r="L80" s="166"/>
      <c r="M80" s="166"/>
      <c r="N80" s="167"/>
    </row>
    <row r="81" spans="1:14" x14ac:dyDescent="0.25">
      <c r="A81" s="25"/>
      <c r="B81" s="26"/>
      <c r="C81" s="26"/>
      <c r="D81" s="26"/>
      <c r="E81" s="26"/>
      <c r="F81" s="26"/>
      <c r="G81" s="26"/>
      <c r="H81" s="26"/>
      <c r="I81" s="26"/>
      <c r="J81" s="26"/>
      <c r="K81" s="26"/>
      <c r="L81" s="26"/>
      <c r="M81" s="26"/>
      <c r="N81" s="27"/>
    </row>
    <row r="82" spans="1:14" ht="15.75" x14ac:dyDescent="0.25">
      <c r="A82" s="13" t="s">
        <v>43</v>
      </c>
      <c r="E82" s="14" t="s">
        <v>47</v>
      </c>
      <c r="N82" s="12"/>
    </row>
    <row r="83" spans="1:14" x14ac:dyDescent="0.25">
      <c r="A83" s="11"/>
      <c r="F83" s="19" t="b">
        <v>0</v>
      </c>
      <c r="G83" s="18" t="s">
        <v>49</v>
      </c>
      <c r="H83" s="19" t="b">
        <v>0</v>
      </c>
      <c r="I83" s="10" t="s">
        <v>48</v>
      </c>
      <c r="N83" s="12"/>
    </row>
    <row r="84" spans="1:14" x14ac:dyDescent="0.25">
      <c r="A84" s="11"/>
      <c r="N84" s="12"/>
    </row>
    <row r="85" spans="1:14" x14ac:dyDescent="0.25">
      <c r="A85" s="11"/>
      <c r="N85" s="12"/>
    </row>
    <row r="86" spans="1:14" ht="15.75" x14ac:dyDescent="0.25">
      <c r="A86" s="13" t="s">
        <v>44</v>
      </c>
      <c r="G86" s="20" t="s">
        <v>50</v>
      </c>
      <c r="K86" s="10" t="s">
        <v>68</v>
      </c>
      <c r="N86" s="12"/>
    </row>
    <row r="87" spans="1:14" ht="15.75" x14ac:dyDescent="0.25">
      <c r="A87" s="13"/>
      <c r="N87" s="12"/>
    </row>
    <row r="88" spans="1:14" x14ac:dyDescent="0.25">
      <c r="A88" s="11"/>
      <c r="N88" s="12"/>
    </row>
    <row r="89" spans="1:14" x14ac:dyDescent="0.25">
      <c r="A89" s="11"/>
      <c r="N89" s="12"/>
    </row>
    <row r="90" spans="1:14" x14ac:dyDescent="0.25">
      <c r="A90" s="11"/>
      <c r="N90" s="12"/>
    </row>
    <row r="91" spans="1:14" x14ac:dyDescent="0.25">
      <c r="A91" s="11"/>
      <c r="G91" s="20"/>
      <c r="N91" s="12"/>
    </row>
    <row r="92" spans="1:14" ht="15.75" x14ac:dyDescent="0.25">
      <c r="A92" s="13" t="s">
        <v>45</v>
      </c>
      <c r="F92" s="10" t="s">
        <v>51</v>
      </c>
      <c r="N92" s="12"/>
    </row>
    <row r="93" spans="1:14" x14ac:dyDescent="0.25">
      <c r="A93" s="11"/>
      <c r="N93" s="12"/>
    </row>
    <row r="94" spans="1:14" x14ac:dyDescent="0.25">
      <c r="A94" s="11"/>
      <c r="N94" s="12"/>
    </row>
    <row r="95" spans="1:14" x14ac:dyDescent="0.25">
      <c r="A95" s="11"/>
      <c r="N95" s="12"/>
    </row>
    <row r="96" spans="1:14" x14ac:dyDescent="0.25">
      <c r="A96" s="11"/>
      <c r="N96" s="12"/>
    </row>
    <row r="97" spans="1:14" x14ac:dyDescent="0.25">
      <c r="A97" s="11"/>
      <c r="N97" s="12"/>
    </row>
    <row r="98" spans="1:14" ht="15.75" x14ac:dyDescent="0.25">
      <c r="A98" s="13" t="s">
        <v>46</v>
      </c>
      <c r="F98" s="10" t="s">
        <v>52</v>
      </c>
      <c r="N98" s="12"/>
    </row>
    <row r="99" spans="1:14" x14ac:dyDescent="0.25">
      <c r="A99" s="11"/>
      <c r="N99" s="12"/>
    </row>
    <row r="100" spans="1:14" x14ac:dyDescent="0.25">
      <c r="A100" s="11"/>
      <c r="N100" s="12"/>
    </row>
    <row r="101" spans="1:14" x14ac:dyDescent="0.25">
      <c r="A101" s="11"/>
      <c r="N101" s="12"/>
    </row>
    <row r="102" spans="1:14" x14ac:dyDescent="0.25">
      <c r="A102" s="11"/>
      <c r="F102" s="10" t="s">
        <v>79</v>
      </c>
      <c r="N102" s="12"/>
    </row>
    <row r="103" spans="1:14" x14ac:dyDescent="0.25">
      <c r="A103" s="11" t="s">
        <v>69</v>
      </c>
      <c r="N103" s="12"/>
    </row>
    <row r="104" spans="1:14" x14ac:dyDescent="0.25">
      <c r="A104" s="11"/>
      <c r="N104" s="12"/>
    </row>
    <row r="105" spans="1:14" x14ac:dyDescent="0.25">
      <c r="A105" s="11"/>
      <c r="N105" s="12"/>
    </row>
    <row r="106" spans="1:14" x14ac:dyDescent="0.25">
      <c r="A106" s="11"/>
      <c r="F106" s="10" t="s">
        <v>70</v>
      </c>
      <c r="N106" s="12"/>
    </row>
    <row r="107" spans="1:14" x14ac:dyDescent="0.25">
      <c r="A107" s="11"/>
      <c r="N107" s="12"/>
    </row>
    <row r="108" spans="1:14" x14ac:dyDescent="0.25">
      <c r="A108" s="11"/>
      <c r="N108" s="12"/>
    </row>
    <row r="109" spans="1:14" x14ac:dyDescent="0.25">
      <c r="N109" s="12"/>
    </row>
    <row r="110" spans="1:14" x14ac:dyDescent="0.25">
      <c r="A110" s="11"/>
      <c r="N110" s="12"/>
    </row>
    <row r="111" spans="1:14" x14ac:dyDescent="0.25">
      <c r="A111" s="11"/>
      <c r="N111" s="12"/>
    </row>
    <row r="112" spans="1:14" x14ac:dyDescent="0.25">
      <c r="A112" s="11"/>
      <c r="N112" s="12"/>
    </row>
    <row r="113" spans="1:24" x14ac:dyDescent="0.25">
      <c r="A113" s="11"/>
      <c r="N113" s="12"/>
    </row>
    <row r="114" spans="1:24" x14ac:dyDescent="0.25">
      <c r="A114" s="11"/>
      <c r="N114" s="12"/>
    </row>
    <row r="115" spans="1:24" x14ac:dyDescent="0.25">
      <c r="A115" s="11"/>
      <c r="N115" s="12"/>
    </row>
    <row r="116" spans="1:24" x14ac:dyDescent="0.25">
      <c r="A116" s="11"/>
      <c r="N116" s="12"/>
    </row>
    <row r="117" spans="1:24" x14ac:dyDescent="0.25">
      <c r="A117" s="11"/>
      <c r="K117" s="10" t="s">
        <v>72</v>
      </c>
      <c r="N117" s="12"/>
    </row>
    <row r="118" spans="1:24" x14ac:dyDescent="0.25">
      <c r="A118" s="11"/>
      <c r="F118" s="10" t="s">
        <v>71</v>
      </c>
      <c r="N118" s="12"/>
    </row>
    <row r="119" spans="1:24" x14ac:dyDescent="0.25">
      <c r="A119" s="11"/>
      <c r="N119" s="12"/>
    </row>
    <row r="120" spans="1:24" x14ac:dyDescent="0.25">
      <c r="A120" s="11"/>
      <c r="N120" s="12"/>
    </row>
    <row r="121" spans="1:24" ht="15.75" thickBot="1" x14ac:dyDescent="0.3">
      <c r="A121" s="11"/>
      <c r="N121" s="12"/>
    </row>
    <row r="122" spans="1:24" ht="27" thickBot="1" x14ac:dyDescent="0.45">
      <c r="A122" s="165" t="s">
        <v>83</v>
      </c>
      <c r="B122" s="166"/>
      <c r="C122" s="166"/>
      <c r="D122" s="166"/>
      <c r="E122" s="166"/>
      <c r="F122" s="166"/>
      <c r="G122" s="166"/>
      <c r="H122" s="166"/>
      <c r="I122" s="166"/>
      <c r="J122" s="166"/>
      <c r="K122" s="166"/>
      <c r="L122" s="166"/>
      <c r="M122" s="166"/>
      <c r="N122" s="167"/>
      <c r="O122" s="31"/>
      <c r="P122" s="31"/>
      <c r="Q122" s="31"/>
      <c r="R122" s="31"/>
      <c r="S122" s="31"/>
      <c r="T122" s="31"/>
      <c r="U122" s="31"/>
      <c r="V122" s="31"/>
      <c r="W122" s="31"/>
      <c r="X122" s="31"/>
    </row>
    <row r="123" spans="1:24" x14ac:dyDescent="0.25">
      <c r="A123" s="11"/>
      <c r="N123" s="12"/>
    </row>
    <row r="124" spans="1:24" ht="15.75" x14ac:dyDescent="0.25">
      <c r="A124" s="13" t="s">
        <v>43</v>
      </c>
      <c r="E124" s="14" t="s">
        <v>47</v>
      </c>
      <c r="N124" s="12"/>
    </row>
    <row r="125" spans="1:24" x14ac:dyDescent="0.25">
      <c r="A125" s="11"/>
      <c r="F125" s="19" t="b">
        <v>1</v>
      </c>
      <c r="G125" s="18" t="s">
        <v>49</v>
      </c>
      <c r="H125" s="19" t="b">
        <v>0</v>
      </c>
      <c r="I125" s="10" t="s">
        <v>48</v>
      </c>
      <c r="N125" s="12"/>
    </row>
    <row r="126" spans="1:24" x14ac:dyDescent="0.25">
      <c r="A126" s="11"/>
      <c r="N126" s="12"/>
    </row>
    <row r="127" spans="1:24" x14ac:dyDescent="0.25">
      <c r="A127" s="11"/>
      <c r="N127" s="12"/>
    </row>
    <row r="128" spans="1:24" ht="15.75" x14ac:dyDescent="0.25">
      <c r="A128" s="13" t="s">
        <v>44</v>
      </c>
      <c r="F128" s="10" t="s">
        <v>52</v>
      </c>
      <c r="K128" s="10" t="s">
        <v>68</v>
      </c>
      <c r="N128" s="12"/>
    </row>
    <row r="129" spans="1:14" ht="15.75" x14ac:dyDescent="0.25">
      <c r="A129" s="13"/>
      <c r="N129" s="12"/>
    </row>
    <row r="130" spans="1:14" x14ac:dyDescent="0.25">
      <c r="A130" s="11"/>
      <c r="N130" s="12"/>
    </row>
    <row r="131" spans="1:14" x14ac:dyDescent="0.25">
      <c r="A131" s="11"/>
      <c r="N131" s="12"/>
    </row>
    <row r="132" spans="1:14" x14ac:dyDescent="0.25">
      <c r="A132" s="11"/>
      <c r="F132" s="10" t="s">
        <v>84</v>
      </c>
      <c r="N132" s="12"/>
    </row>
    <row r="133" spans="1:14" x14ac:dyDescent="0.25">
      <c r="A133" s="11"/>
      <c r="N133" s="12"/>
    </row>
    <row r="134" spans="1:14" ht="15.75" x14ac:dyDescent="0.25">
      <c r="A134" s="13" t="s">
        <v>45</v>
      </c>
      <c r="N134" s="12"/>
    </row>
    <row r="135" spans="1:14" x14ac:dyDescent="0.25">
      <c r="A135" s="11"/>
      <c r="N135" s="12"/>
    </row>
    <row r="136" spans="1:14" x14ac:dyDescent="0.25">
      <c r="A136" s="11"/>
      <c r="F136" s="10" t="s">
        <v>70</v>
      </c>
      <c r="N136" s="12"/>
    </row>
    <row r="137" spans="1:14" x14ac:dyDescent="0.25">
      <c r="A137" s="11"/>
      <c r="N137" s="12"/>
    </row>
    <row r="138" spans="1:14" x14ac:dyDescent="0.25">
      <c r="A138" s="11"/>
      <c r="N138" s="12"/>
    </row>
    <row r="139" spans="1:14" x14ac:dyDescent="0.25">
      <c r="A139" s="11"/>
      <c r="N139" s="12"/>
    </row>
    <row r="140" spans="1:14" ht="15.75" x14ac:dyDescent="0.25">
      <c r="A140" s="13" t="s">
        <v>46</v>
      </c>
      <c r="F140" s="10" t="s">
        <v>72</v>
      </c>
      <c r="N140" s="12"/>
    </row>
    <row r="141" spans="1:14" x14ac:dyDescent="0.25">
      <c r="A141" s="11"/>
      <c r="N141" s="12"/>
    </row>
    <row r="142" spans="1:14" x14ac:dyDescent="0.25">
      <c r="A142" s="11"/>
      <c r="N142" s="12"/>
    </row>
    <row r="143" spans="1:14" x14ac:dyDescent="0.25">
      <c r="A143" s="11"/>
      <c r="N143" s="12"/>
    </row>
    <row r="144" spans="1:14" x14ac:dyDescent="0.25">
      <c r="A144" s="11"/>
      <c r="N144" s="12"/>
    </row>
    <row r="145" spans="1:14" x14ac:dyDescent="0.25">
      <c r="A145" s="11"/>
      <c r="N145" s="12"/>
    </row>
    <row r="146" spans="1:14" x14ac:dyDescent="0.25">
      <c r="A146" s="11"/>
      <c r="N146" s="12"/>
    </row>
    <row r="147" spans="1:14" x14ac:dyDescent="0.25">
      <c r="A147" s="11"/>
      <c r="N147" s="12"/>
    </row>
    <row r="148" spans="1:14" x14ac:dyDescent="0.25">
      <c r="A148" s="11"/>
      <c r="N148" s="12"/>
    </row>
    <row r="149" spans="1:14" x14ac:dyDescent="0.25">
      <c r="A149" s="11"/>
      <c r="N149" s="12"/>
    </row>
    <row r="150" spans="1:14" x14ac:dyDescent="0.25">
      <c r="A150" s="11"/>
      <c r="N150" s="12"/>
    </row>
    <row r="151" spans="1:14" x14ac:dyDescent="0.25">
      <c r="A151" s="11"/>
      <c r="N151" s="12"/>
    </row>
    <row r="152" spans="1:14" x14ac:dyDescent="0.25">
      <c r="A152" s="11"/>
      <c r="N152" s="12"/>
    </row>
    <row r="153" spans="1:14" x14ac:dyDescent="0.25">
      <c r="A153" s="11"/>
      <c r="N153" s="12"/>
    </row>
    <row r="154" spans="1:14" x14ac:dyDescent="0.25">
      <c r="A154" s="11"/>
      <c r="N154" s="12"/>
    </row>
    <row r="155" spans="1:14" x14ac:dyDescent="0.25">
      <c r="A155" s="11"/>
      <c r="H155"/>
      <c r="N155" s="12"/>
    </row>
    <row r="156" spans="1:14" x14ac:dyDescent="0.25">
      <c r="A156" s="11"/>
      <c r="N156" s="12"/>
    </row>
    <row r="157" spans="1:14" x14ac:dyDescent="0.25">
      <c r="A157" s="11"/>
      <c r="N157" s="12"/>
    </row>
    <row r="158" spans="1:14" x14ac:dyDescent="0.25">
      <c r="A158" s="11"/>
      <c r="N158" s="12"/>
    </row>
    <row r="159" spans="1:14" x14ac:dyDescent="0.25">
      <c r="A159" s="11"/>
      <c r="N159" s="12"/>
    </row>
    <row r="160" spans="1:14" x14ac:dyDescent="0.25">
      <c r="A160" s="11"/>
      <c r="N160" s="12"/>
    </row>
    <row r="161" spans="1:14" x14ac:dyDescent="0.25">
      <c r="A161" s="11"/>
      <c r="N161" s="12"/>
    </row>
    <row r="162" spans="1:14" ht="15.75" thickBot="1" x14ac:dyDescent="0.3">
      <c r="A162" s="15"/>
      <c r="B162" s="16"/>
      <c r="C162" s="16"/>
      <c r="D162" s="16"/>
      <c r="E162" s="16"/>
      <c r="F162" s="16"/>
      <c r="G162" s="16"/>
      <c r="H162" s="16"/>
      <c r="I162" s="16"/>
      <c r="J162" s="16"/>
      <c r="K162" s="16"/>
      <c r="L162" s="16"/>
      <c r="M162" s="16"/>
      <c r="N162" s="17"/>
    </row>
    <row r="163" spans="1:14" ht="27" thickBot="1" x14ac:dyDescent="0.45">
      <c r="A163" s="165" t="s">
        <v>86</v>
      </c>
      <c r="B163" s="166"/>
      <c r="C163" s="166"/>
      <c r="D163" s="166"/>
      <c r="E163" s="166"/>
      <c r="F163" s="166"/>
      <c r="G163" s="166"/>
      <c r="H163" s="166"/>
      <c r="I163" s="166"/>
      <c r="J163" s="166"/>
      <c r="K163" s="166"/>
      <c r="L163" s="166"/>
      <c r="M163" s="166"/>
      <c r="N163" s="167"/>
    </row>
    <row r="164" spans="1:14" x14ac:dyDescent="0.25">
      <c r="A164" s="25"/>
      <c r="B164" s="26"/>
      <c r="C164" s="26"/>
      <c r="D164" s="26"/>
      <c r="E164" s="26"/>
      <c r="F164" s="26"/>
      <c r="G164" s="26"/>
      <c r="H164" s="26"/>
      <c r="I164" s="26"/>
      <c r="J164" s="26"/>
      <c r="K164" s="26"/>
      <c r="L164" s="26"/>
      <c r="M164" s="26"/>
      <c r="N164" s="27"/>
    </row>
    <row r="165" spans="1:14" ht="15.75" x14ac:dyDescent="0.25">
      <c r="A165" s="13" t="s">
        <v>43</v>
      </c>
      <c r="E165" s="14" t="s">
        <v>47</v>
      </c>
      <c r="N165" s="12"/>
    </row>
    <row r="166" spans="1:14" x14ac:dyDescent="0.25">
      <c r="A166" s="11"/>
      <c r="F166" s="19" t="b">
        <v>0</v>
      </c>
      <c r="G166" s="18" t="s">
        <v>49</v>
      </c>
      <c r="H166" s="19" t="b">
        <v>0</v>
      </c>
      <c r="I166" s="10" t="s">
        <v>48</v>
      </c>
      <c r="N166" s="12"/>
    </row>
    <row r="167" spans="1:14" x14ac:dyDescent="0.25">
      <c r="A167" s="11"/>
      <c r="N167" s="12"/>
    </row>
    <row r="168" spans="1:14" x14ac:dyDescent="0.25">
      <c r="A168" s="11"/>
      <c r="N168" s="12"/>
    </row>
    <row r="169" spans="1:14" ht="15.75" x14ac:dyDescent="0.25">
      <c r="A169" s="13" t="s">
        <v>44</v>
      </c>
      <c r="G169" s="20" t="s">
        <v>50</v>
      </c>
      <c r="K169" s="10" t="s">
        <v>68</v>
      </c>
      <c r="N169" s="12"/>
    </row>
    <row r="170" spans="1:14" ht="15.75" x14ac:dyDescent="0.25">
      <c r="A170" s="13"/>
      <c r="N170" s="12"/>
    </row>
    <row r="171" spans="1:14" x14ac:dyDescent="0.25">
      <c r="A171" s="11"/>
      <c r="N171" s="12"/>
    </row>
    <row r="172" spans="1:14" x14ac:dyDescent="0.25">
      <c r="A172" s="11"/>
      <c r="N172" s="12"/>
    </row>
    <row r="173" spans="1:14" x14ac:dyDescent="0.25">
      <c r="A173" s="11"/>
      <c r="N173" s="12"/>
    </row>
    <row r="174" spans="1:14" x14ac:dyDescent="0.25">
      <c r="A174" s="11"/>
      <c r="G174" s="20"/>
      <c r="N174" s="12"/>
    </row>
    <row r="175" spans="1:14" ht="15.75" x14ac:dyDescent="0.25">
      <c r="A175" s="13" t="s">
        <v>45</v>
      </c>
      <c r="F175" s="10" t="s">
        <v>51</v>
      </c>
      <c r="N175" s="12"/>
    </row>
    <row r="176" spans="1:14" x14ac:dyDescent="0.25">
      <c r="A176" s="11"/>
      <c r="N176" s="12"/>
    </row>
    <row r="177" spans="1:14" x14ac:dyDescent="0.25">
      <c r="A177" s="11"/>
      <c r="N177" s="12"/>
    </row>
    <row r="178" spans="1:14" x14ac:dyDescent="0.25">
      <c r="A178" s="11"/>
      <c r="N178" s="12"/>
    </row>
    <row r="179" spans="1:14" x14ac:dyDescent="0.25">
      <c r="A179" s="11"/>
      <c r="N179" s="12"/>
    </row>
    <row r="180" spans="1:14" x14ac:dyDescent="0.25">
      <c r="A180" s="11"/>
      <c r="N180" s="12"/>
    </row>
    <row r="181" spans="1:14" ht="15.75" x14ac:dyDescent="0.25">
      <c r="A181" s="13" t="s">
        <v>46</v>
      </c>
      <c r="F181" s="10" t="s">
        <v>52</v>
      </c>
      <c r="N181" s="12"/>
    </row>
    <row r="182" spans="1:14" x14ac:dyDescent="0.25">
      <c r="A182" s="11"/>
      <c r="N182" s="12"/>
    </row>
    <row r="183" spans="1:14" x14ac:dyDescent="0.25">
      <c r="A183" s="11"/>
      <c r="N183" s="12"/>
    </row>
    <row r="184" spans="1:14" x14ac:dyDescent="0.25">
      <c r="A184" s="11"/>
      <c r="N184" s="12"/>
    </row>
    <row r="185" spans="1:14" x14ac:dyDescent="0.25">
      <c r="A185" s="11"/>
      <c r="F185" s="10" t="s">
        <v>79</v>
      </c>
      <c r="N185" s="12"/>
    </row>
    <row r="186" spans="1:14" x14ac:dyDescent="0.25">
      <c r="A186" s="11"/>
      <c r="N186" s="12"/>
    </row>
    <row r="187" spans="1:14" x14ac:dyDescent="0.25">
      <c r="A187" s="11"/>
      <c r="N187" s="12"/>
    </row>
    <row r="188" spans="1:14" x14ac:dyDescent="0.25">
      <c r="A188" s="11"/>
      <c r="N188" s="12"/>
    </row>
    <row r="189" spans="1:14" x14ac:dyDescent="0.25">
      <c r="A189" s="11"/>
      <c r="F189" s="10" t="s">
        <v>70</v>
      </c>
      <c r="N189" s="12"/>
    </row>
    <row r="190" spans="1:14" x14ac:dyDescent="0.25">
      <c r="A190" s="11"/>
      <c r="N190" s="12"/>
    </row>
    <row r="191" spans="1:14" x14ac:dyDescent="0.25">
      <c r="A191" s="11"/>
      <c r="N191" s="12"/>
    </row>
    <row r="192" spans="1:14" x14ac:dyDescent="0.25">
      <c r="A192" s="11" t="s">
        <v>69</v>
      </c>
      <c r="N192" s="12"/>
    </row>
    <row r="193" spans="1:16" x14ac:dyDescent="0.25">
      <c r="A193" s="11"/>
      <c r="N193" s="12"/>
    </row>
    <row r="194" spans="1:16" x14ac:dyDescent="0.25">
      <c r="A194" s="11"/>
      <c r="F194" s="10" t="s">
        <v>71</v>
      </c>
      <c r="N194" s="12"/>
    </row>
    <row r="195" spans="1:16" x14ac:dyDescent="0.25">
      <c r="A195" s="11"/>
      <c r="N195" s="12"/>
    </row>
    <row r="196" spans="1:16" x14ac:dyDescent="0.25">
      <c r="A196" s="11"/>
      <c r="N196" s="12"/>
    </row>
    <row r="197" spans="1:16" x14ac:dyDescent="0.25">
      <c r="A197" s="11"/>
      <c r="N197" s="12"/>
    </row>
    <row r="198" spans="1:16" x14ac:dyDescent="0.25">
      <c r="A198" s="11"/>
      <c r="F198" s="10" t="s">
        <v>72</v>
      </c>
      <c r="N198" s="12"/>
    </row>
    <row r="199" spans="1:16" x14ac:dyDescent="0.25">
      <c r="A199" s="11"/>
      <c r="N199" s="12"/>
    </row>
    <row r="200" spans="1:16" x14ac:dyDescent="0.25">
      <c r="A200" s="11"/>
      <c r="N200" s="12"/>
      <c r="P200" s="33"/>
    </row>
    <row r="201" spans="1:16" x14ac:dyDescent="0.25">
      <c r="A201" s="11"/>
      <c r="N201" s="12"/>
    </row>
    <row r="202" spans="1:16" x14ac:dyDescent="0.25">
      <c r="A202" s="11"/>
      <c r="N202" s="12"/>
    </row>
    <row r="203" spans="1:16" x14ac:dyDescent="0.25">
      <c r="A203" s="11"/>
      <c r="F203" s="10" t="s">
        <v>87</v>
      </c>
      <c r="N203" s="12"/>
    </row>
    <row r="204" spans="1:16" x14ac:dyDescent="0.25">
      <c r="A204" s="11"/>
      <c r="N204" s="12"/>
    </row>
    <row r="205" spans="1:16" x14ac:dyDescent="0.25">
      <c r="A205" s="11"/>
      <c r="N205" s="12"/>
    </row>
    <row r="206" spans="1:16" x14ac:dyDescent="0.25">
      <c r="A206" s="11"/>
      <c r="N206" s="12"/>
    </row>
    <row r="207" spans="1:16" x14ac:dyDescent="0.25">
      <c r="A207" s="11"/>
      <c r="N207" s="12"/>
    </row>
    <row r="208" spans="1:16" ht="15.75" thickBot="1" x14ac:dyDescent="0.3">
      <c r="A208" s="15"/>
      <c r="B208" s="16"/>
      <c r="C208" s="16"/>
      <c r="D208" s="16"/>
      <c r="E208" s="16"/>
      <c r="F208" s="16"/>
      <c r="G208" s="16"/>
      <c r="H208" s="16"/>
      <c r="I208" s="16"/>
      <c r="J208" s="16"/>
      <c r="K208" s="16"/>
      <c r="L208" s="16"/>
      <c r="M208" s="16"/>
      <c r="N208" s="17"/>
    </row>
    <row r="209" spans="1:14" ht="27" thickBot="1" x14ac:dyDescent="0.45">
      <c r="A209" s="165" t="s">
        <v>89</v>
      </c>
      <c r="B209" s="166"/>
      <c r="C209" s="166"/>
      <c r="D209" s="166"/>
      <c r="E209" s="166"/>
      <c r="F209" s="166"/>
      <c r="G209" s="166"/>
      <c r="H209" s="166"/>
      <c r="I209" s="166"/>
      <c r="J209" s="166"/>
      <c r="K209" s="166"/>
      <c r="L209" s="166"/>
      <c r="M209" s="166"/>
      <c r="N209" s="167"/>
    </row>
    <row r="210" spans="1:14" x14ac:dyDescent="0.25">
      <c r="A210" s="25"/>
      <c r="B210" s="26"/>
      <c r="C210" s="26"/>
      <c r="D210" s="26"/>
      <c r="E210" s="26"/>
      <c r="F210" s="26"/>
      <c r="G210" s="26"/>
      <c r="H210" s="26"/>
      <c r="I210" s="26"/>
      <c r="J210" s="26"/>
      <c r="K210" s="26"/>
      <c r="L210" s="26"/>
      <c r="M210" s="26"/>
      <c r="N210" s="27"/>
    </row>
    <row r="211" spans="1:14" ht="15.75" x14ac:dyDescent="0.25">
      <c r="A211" s="13" t="s">
        <v>43</v>
      </c>
      <c r="E211" s="14" t="s">
        <v>47</v>
      </c>
      <c r="N211" s="12"/>
    </row>
    <row r="212" spans="1:14" x14ac:dyDescent="0.25">
      <c r="A212" s="11"/>
      <c r="F212" s="19" t="b">
        <v>0</v>
      </c>
      <c r="G212" s="18" t="s">
        <v>49</v>
      </c>
      <c r="H212" s="19" t="b">
        <v>0</v>
      </c>
      <c r="I212" s="10" t="s">
        <v>48</v>
      </c>
      <c r="N212" s="12"/>
    </row>
    <row r="213" spans="1:14" x14ac:dyDescent="0.25">
      <c r="A213" s="11"/>
      <c r="N213" s="12"/>
    </row>
    <row r="214" spans="1:14" x14ac:dyDescent="0.25">
      <c r="A214" s="11"/>
      <c r="N214" s="12"/>
    </row>
    <row r="215" spans="1:14" ht="15.75" x14ac:dyDescent="0.25">
      <c r="A215" s="13" t="s">
        <v>44</v>
      </c>
      <c r="G215" s="20" t="s">
        <v>50</v>
      </c>
      <c r="K215" s="10" t="s">
        <v>68</v>
      </c>
      <c r="N215" s="12"/>
    </row>
    <row r="216" spans="1:14" ht="15.75" x14ac:dyDescent="0.25">
      <c r="A216" s="13"/>
      <c r="N216" s="12"/>
    </row>
    <row r="217" spans="1:14" x14ac:dyDescent="0.25">
      <c r="A217" s="11"/>
      <c r="N217" s="12"/>
    </row>
    <row r="218" spans="1:14" x14ac:dyDescent="0.25">
      <c r="A218" s="11"/>
      <c r="N218" s="12"/>
    </row>
    <row r="219" spans="1:14" x14ac:dyDescent="0.25">
      <c r="A219" s="11"/>
      <c r="N219" s="12"/>
    </row>
    <row r="220" spans="1:14" x14ac:dyDescent="0.25">
      <c r="A220" s="11"/>
      <c r="G220" s="20"/>
      <c r="N220" s="12"/>
    </row>
    <row r="221" spans="1:14" ht="15.75" x14ac:dyDescent="0.25">
      <c r="A221" s="13" t="s">
        <v>45</v>
      </c>
      <c r="F221" s="10" t="s">
        <v>51</v>
      </c>
      <c r="N221" s="12"/>
    </row>
    <row r="222" spans="1:14" x14ac:dyDescent="0.25">
      <c r="A222" s="11"/>
      <c r="N222" s="12"/>
    </row>
    <row r="223" spans="1:14" x14ac:dyDescent="0.25">
      <c r="A223" s="11"/>
      <c r="N223" s="12"/>
    </row>
    <row r="224" spans="1:14" x14ac:dyDescent="0.25">
      <c r="A224" s="11"/>
      <c r="N224" s="12"/>
    </row>
    <row r="225" spans="1:14" x14ac:dyDescent="0.25">
      <c r="A225" s="11"/>
      <c r="N225" s="12"/>
    </row>
    <row r="226" spans="1:14" x14ac:dyDescent="0.25">
      <c r="A226" s="11"/>
      <c r="N226" s="12"/>
    </row>
    <row r="227" spans="1:14" ht="15.75" x14ac:dyDescent="0.25">
      <c r="A227" s="13" t="s">
        <v>46</v>
      </c>
      <c r="F227" s="10" t="s">
        <v>52</v>
      </c>
      <c r="N227" s="12"/>
    </row>
    <row r="228" spans="1:14" x14ac:dyDescent="0.25">
      <c r="A228" s="11"/>
      <c r="N228" s="12"/>
    </row>
    <row r="229" spans="1:14" x14ac:dyDescent="0.25">
      <c r="A229" s="11"/>
      <c r="N229" s="12"/>
    </row>
    <row r="230" spans="1:14" x14ac:dyDescent="0.25">
      <c r="A230" s="11"/>
      <c r="N230" s="12"/>
    </row>
    <row r="231" spans="1:14" x14ac:dyDescent="0.25">
      <c r="A231" s="11"/>
      <c r="F231" s="10" t="s">
        <v>79</v>
      </c>
      <c r="N231" s="12"/>
    </row>
    <row r="232" spans="1:14" x14ac:dyDescent="0.25">
      <c r="A232" s="11"/>
      <c r="N232" s="12"/>
    </row>
    <row r="233" spans="1:14" x14ac:dyDescent="0.25">
      <c r="A233" s="11"/>
      <c r="N233" s="12"/>
    </row>
    <row r="234" spans="1:14" x14ac:dyDescent="0.25">
      <c r="A234" s="11"/>
      <c r="N234" s="12"/>
    </row>
    <row r="235" spans="1:14" x14ac:dyDescent="0.25">
      <c r="A235" s="11"/>
      <c r="F235" s="10" t="s">
        <v>70</v>
      </c>
      <c r="N235" s="12"/>
    </row>
    <row r="236" spans="1:14" x14ac:dyDescent="0.25">
      <c r="A236" s="11"/>
      <c r="N236" s="12"/>
    </row>
    <row r="237" spans="1:14" x14ac:dyDescent="0.25">
      <c r="A237" s="11" t="s">
        <v>69</v>
      </c>
      <c r="N237" s="12"/>
    </row>
    <row r="238" spans="1:14" x14ac:dyDescent="0.25">
      <c r="N238" s="12"/>
    </row>
    <row r="239" spans="1:14" x14ac:dyDescent="0.25">
      <c r="A239" s="11"/>
      <c r="N239" s="12"/>
    </row>
    <row r="240" spans="1:14" x14ac:dyDescent="0.25">
      <c r="A240" s="11"/>
      <c r="N240" s="12"/>
    </row>
    <row r="241" spans="1:14" x14ac:dyDescent="0.25">
      <c r="A241" s="11"/>
      <c r="N241" s="12"/>
    </row>
    <row r="242" spans="1:14" x14ac:dyDescent="0.25">
      <c r="A242" s="11"/>
      <c r="N242" s="12"/>
    </row>
    <row r="243" spans="1:14" x14ac:dyDescent="0.25">
      <c r="N243" s="12"/>
    </row>
    <row r="244" spans="1:14" x14ac:dyDescent="0.25">
      <c r="N244" s="12"/>
    </row>
    <row r="245" spans="1:14" x14ac:dyDescent="0.25">
      <c r="A245" s="11" t="s">
        <v>71</v>
      </c>
      <c r="N245" s="12"/>
    </row>
    <row r="246" spans="1:14" x14ac:dyDescent="0.25">
      <c r="A246" s="11"/>
      <c r="N246" s="12"/>
    </row>
    <row r="247" spans="1:14" x14ac:dyDescent="0.25">
      <c r="A247" s="11"/>
      <c r="N247" s="12"/>
    </row>
    <row r="248" spans="1:14" x14ac:dyDescent="0.25">
      <c r="A248" s="11"/>
      <c r="N248" s="12"/>
    </row>
    <row r="249" spans="1:14" x14ac:dyDescent="0.25">
      <c r="A249" s="11"/>
      <c r="N249" s="12"/>
    </row>
    <row r="250" spans="1:14" x14ac:dyDescent="0.25">
      <c r="A250" s="11" t="s">
        <v>72</v>
      </c>
      <c r="N250" s="12"/>
    </row>
    <row r="251" spans="1:14" x14ac:dyDescent="0.25">
      <c r="A251" s="11"/>
      <c r="N251" s="12"/>
    </row>
    <row r="252" spans="1:14" x14ac:dyDescent="0.25">
      <c r="A252" s="11"/>
      <c r="N252" s="12"/>
    </row>
    <row r="253" spans="1:14" ht="15.75" thickBot="1" x14ac:dyDescent="0.3">
      <c r="A253" s="11"/>
      <c r="F253" s="16"/>
      <c r="G253" s="16"/>
      <c r="H253" s="16"/>
      <c r="I253" s="16"/>
      <c r="J253" s="16"/>
      <c r="K253" s="16"/>
      <c r="L253" s="16"/>
      <c r="M253" s="16"/>
      <c r="N253" s="17"/>
    </row>
    <row r="254" spans="1:14" ht="27" thickBot="1" x14ac:dyDescent="0.45">
      <c r="A254" s="165" t="s">
        <v>90</v>
      </c>
      <c r="B254" s="166"/>
      <c r="C254" s="166"/>
      <c r="D254" s="166"/>
      <c r="E254" s="166"/>
      <c r="F254" s="166"/>
      <c r="G254" s="166"/>
      <c r="H254" s="166"/>
      <c r="I254" s="166"/>
      <c r="J254" s="166"/>
      <c r="K254" s="166"/>
      <c r="L254" s="166"/>
      <c r="M254" s="166"/>
      <c r="N254" s="167"/>
    </row>
    <row r="255" spans="1:14" x14ac:dyDescent="0.25">
      <c r="A255" s="25"/>
      <c r="B255" s="26"/>
      <c r="C255" s="26"/>
      <c r="D255" s="26"/>
      <c r="E255" s="26"/>
      <c r="F255" s="26"/>
      <c r="G255" s="26"/>
      <c r="H255" s="26"/>
      <c r="I255" s="26"/>
      <c r="J255" s="26"/>
      <c r="K255" s="26"/>
      <c r="L255" s="26"/>
      <c r="M255" s="26"/>
      <c r="N255" s="27"/>
    </row>
    <row r="256" spans="1:14" ht="15.75" x14ac:dyDescent="0.25">
      <c r="A256" s="13" t="s">
        <v>43</v>
      </c>
      <c r="E256" s="14" t="s">
        <v>47</v>
      </c>
      <c r="N256" s="12"/>
    </row>
    <row r="257" spans="1:14" x14ac:dyDescent="0.25">
      <c r="A257" s="11"/>
      <c r="F257" s="19" t="b">
        <v>0</v>
      </c>
      <c r="G257" s="18" t="s">
        <v>49</v>
      </c>
      <c r="H257" s="19" t="b">
        <v>0</v>
      </c>
      <c r="I257" s="10" t="s">
        <v>48</v>
      </c>
      <c r="N257" s="12"/>
    </row>
    <row r="258" spans="1:14" x14ac:dyDescent="0.25">
      <c r="A258" s="11"/>
      <c r="N258" s="12"/>
    </row>
    <row r="259" spans="1:14" x14ac:dyDescent="0.25">
      <c r="A259" s="11"/>
      <c r="N259" s="12"/>
    </row>
    <row r="260" spans="1:14" ht="15.75" x14ac:dyDescent="0.25">
      <c r="A260" s="13" t="s">
        <v>44</v>
      </c>
      <c r="G260" s="20" t="s">
        <v>50</v>
      </c>
      <c r="K260" s="10" t="s">
        <v>68</v>
      </c>
      <c r="N260" s="12"/>
    </row>
    <row r="261" spans="1:14" ht="15.75" x14ac:dyDescent="0.25">
      <c r="A261" s="13"/>
      <c r="N261" s="12"/>
    </row>
    <row r="262" spans="1:14" x14ac:dyDescent="0.25">
      <c r="A262" s="11"/>
      <c r="N262" s="12"/>
    </row>
    <row r="263" spans="1:14" x14ac:dyDescent="0.25">
      <c r="A263" s="11"/>
      <c r="N263" s="12"/>
    </row>
    <row r="264" spans="1:14" x14ac:dyDescent="0.25">
      <c r="A264" s="11"/>
      <c r="N264" s="12"/>
    </row>
    <row r="265" spans="1:14" x14ac:dyDescent="0.25">
      <c r="A265" s="11"/>
      <c r="G265" s="20"/>
      <c r="N265" s="12"/>
    </row>
    <row r="266" spans="1:14" ht="15.75" x14ac:dyDescent="0.25">
      <c r="A266" s="13" t="s">
        <v>45</v>
      </c>
      <c r="F266" s="10" t="s">
        <v>51</v>
      </c>
      <c r="N266" s="12"/>
    </row>
    <row r="267" spans="1:14" x14ac:dyDescent="0.25">
      <c r="A267" s="11"/>
      <c r="N267" s="12"/>
    </row>
    <row r="268" spans="1:14" x14ac:dyDescent="0.25">
      <c r="A268" s="11"/>
      <c r="N268" s="12"/>
    </row>
    <row r="269" spans="1:14" x14ac:dyDescent="0.25">
      <c r="A269" s="11"/>
      <c r="N269" s="12"/>
    </row>
    <row r="270" spans="1:14" x14ac:dyDescent="0.25">
      <c r="A270" s="11"/>
      <c r="N270" s="12"/>
    </row>
    <row r="271" spans="1:14" x14ac:dyDescent="0.25">
      <c r="A271" s="11"/>
      <c r="N271" s="12"/>
    </row>
    <row r="272" spans="1:14" ht="15.75" x14ac:dyDescent="0.25">
      <c r="A272" s="13" t="s">
        <v>46</v>
      </c>
      <c r="F272" s="10" t="s">
        <v>52</v>
      </c>
      <c r="N272" s="12"/>
    </row>
    <row r="273" spans="1:14" x14ac:dyDescent="0.25">
      <c r="A273" s="11"/>
      <c r="N273" s="12"/>
    </row>
    <row r="274" spans="1:14" x14ac:dyDescent="0.25">
      <c r="A274" s="11"/>
      <c r="N274" s="12"/>
    </row>
    <row r="275" spans="1:14" x14ac:dyDescent="0.25">
      <c r="A275" s="11"/>
      <c r="N275" s="12"/>
    </row>
    <row r="276" spans="1:14" x14ac:dyDescent="0.25">
      <c r="A276" s="11"/>
      <c r="F276" s="10" t="s">
        <v>79</v>
      </c>
      <c r="N276" s="12"/>
    </row>
    <row r="277" spans="1:14" x14ac:dyDescent="0.25">
      <c r="A277" s="11"/>
      <c r="N277" s="12"/>
    </row>
    <row r="278" spans="1:14" x14ac:dyDescent="0.25">
      <c r="A278" s="11"/>
      <c r="N278" s="12"/>
    </row>
    <row r="279" spans="1:14" x14ac:dyDescent="0.25">
      <c r="A279" s="11"/>
      <c r="N279" s="12"/>
    </row>
    <row r="280" spans="1:14" x14ac:dyDescent="0.25">
      <c r="A280" s="11"/>
      <c r="F280" s="10" t="s">
        <v>70</v>
      </c>
      <c r="N280" s="12"/>
    </row>
    <row r="281" spans="1:14" x14ac:dyDescent="0.25">
      <c r="A281" s="11"/>
      <c r="N281" s="12"/>
    </row>
    <row r="282" spans="1:14" x14ac:dyDescent="0.25">
      <c r="A282" s="11"/>
      <c r="N282" s="12"/>
    </row>
    <row r="283" spans="1:14" x14ac:dyDescent="0.25">
      <c r="A283" s="11" t="s">
        <v>69</v>
      </c>
      <c r="N283" s="12"/>
    </row>
    <row r="284" spans="1:14" x14ac:dyDescent="0.25">
      <c r="A284" s="11"/>
      <c r="N284" s="12"/>
    </row>
    <row r="285" spans="1:14" x14ac:dyDescent="0.25">
      <c r="A285" s="11"/>
      <c r="N285" s="12"/>
    </row>
    <row r="286" spans="1:14" x14ac:dyDescent="0.25">
      <c r="A286" s="11"/>
      <c r="N286" s="12"/>
    </row>
    <row r="287" spans="1:14" x14ac:dyDescent="0.25">
      <c r="A287" s="11"/>
      <c r="N287" s="12"/>
    </row>
    <row r="288" spans="1:14" x14ac:dyDescent="0.25">
      <c r="A288" s="11"/>
      <c r="N288" s="12"/>
    </row>
    <row r="289" spans="1:14" x14ac:dyDescent="0.25">
      <c r="A289" s="11"/>
      <c r="N289" s="12"/>
    </row>
    <row r="290" spans="1:14" x14ac:dyDescent="0.25">
      <c r="A290" s="11"/>
      <c r="F290" s="10" t="s">
        <v>71</v>
      </c>
      <c r="N290" s="12"/>
    </row>
    <row r="291" spans="1:14" x14ac:dyDescent="0.25">
      <c r="A291" s="11"/>
      <c r="K291" s="10" t="s">
        <v>72</v>
      </c>
      <c r="N291" s="12"/>
    </row>
    <row r="292" spans="1:14" x14ac:dyDescent="0.25">
      <c r="A292" s="11"/>
      <c r="N292" s="12"/>
    </row>
    <row r="293" spans="1:14" x14ac:dyDescent="0.25">
      <c r="A293" s="11"/>
      <c r="N293" s="12"/>
    </row>
    <row r="294" spans="1:14" x14ac:dyDescent="0.25">
      <c r="A294" s="11"/>
      <c r="N294" s="12"/>
    </row>
    <row r="295" spans="1:14" ht="15.75" thickBot="1" x14ac:dyDescent="0.3">
      <c r="A295" s="15"/>
      <c r="B295" s="16"/>
      <c r="C295" s="16"/>
      <c r="D295" s="16"/>
      <c r="E295" s="16"/>
      <c r="F295" s="16"/>
      <c r="G295" s="16"/>
      <c r="H295" s="16"/>
      <c r="I295" s="16"/>
      <c r="J295" s="16"/>
      <c r="K295" s="16"/>
      <c r="L295" s="16"/>
      <c r="M295" s="16"/>
      <c r="N295" s="17"/>
    </row>
    <row r="296" spans="1:14" ht="27" thickBot="1" x14ac:dyDescent="0.45">
      <c r="A296" s="165" t="s">
        <v>92</v>
      </c>
      <c r="B296" s="166"/>
      <c r="C296" s="166"/>
      <c r="D296" s="166"/>
      <c r="E296" s="166"/>
      <c r="F296" s="166"/>
      <c r="G296" s="166"/>
      <c r="H296" s="166"/>
      <c r="I296" s="166"/>
      <c r="J296" s="166"/>
      <c r="K296" s="166"/>
      <c r="L296" s="166"/>
      <c r="M296" s="166"/>
      <c r="N296" s="167"/>
    </row>
    <row r="297" spans="1:14" x14ac:dyDescent="0.25">
      <c r="A297" s="25"/>
      <c r="B297" s="26"/>
      <c r="C297" s="26"/>
      <c r="D297" s="26"/>
      <c r="E297" s="26"/>
      <c r="F297" s="26"/>
      <c r="G297" s="26"/>
      <c r="H297" s="26"/>
      <c r="I297" s="26"/>
      <c r="J297" s="26"/>
      <c r="K297" s="26"/>
      <c r="L297" s="26"/>
      <c r="M297" s="26"/>
      <c r="N297" s="27"/>
    </row>
    <row r="298" spans="1:14" ht="15.75" x14ac:dyDescent="0.25">
      <c r="A298" s="13" t="s">
        <v>43</v>
      </c>
      <c r="E298" s="14" t="s">
        <v>47</v>
      </c>
      <c r="N298" s="12"/>
    </row>
    <row r="299" spans="1:14" x14ac:dyDescent="0.25">
      <c r="A299" s="11"/>
      <c r="F299" s="19" t="b">
        <v>0</v>
      </c>
      <c r="G299" s="18" t="s">
        <v>49</v>
      </c>
      <c r="H299" s="19" t="b">
        <v>0</v>
      </c>
      <c r="I299" s="10" t="s">
        <v>48</v>
      </c>
      <c r="N299" s="12"/>
    </row>
    <row r="300" spans="1:14" x14ac:dyDescent="0.25">
      <c r="A300" s="11"/>
      <c r="N300" s="12"/>
    </row>
    <row r="301" spans="1:14" x14ac:dyDescent="0.25">
      <c r="A301" s="11"/>
      <c r="N301" s="12"/>
    </row>
    <row r="302" spans="1:14" ht="15.75" x14ac:dyDescent="0.25">
      <c r="A302" s="13" t="s">
        <v>44</v>
      </c>
      <c r="G302" s="20" t="s">
        <v>50</v>
      </c>
      <c r="K302" s="10" t="s">
        <v>68</v>
      </c>
      <c r="N302" s="12"/>
    </row>
    <row r="303" spans="1:14" ht="15.75" x14ac:dyDescent="0.25">
      <c r="A303" s="13"/>
      <c r="N303" s="12"/>
    </row>
    <row r="304" spans="1:14" x14ac:dyDescent="0.25">
      <c r="A304" s="11"/>
      <c r="N304" s="12"/>
    </row>
    <row r="305" spans="1:14" x14ac:dyDescent="0.25">
      <c r="A305" s="11"/>
      <c r="N305" s="12"/>
    </row>
    <row r="306" spans="1:14" x14ac:dyDescent="0.25">
      <c r="A306" s="11"/>
      <c r="N306" s="12"/>
    </row>
    <row r="307" spans="1:14" x14ac:dyDescent="0.25">
      <c r="A307" s="11"/>
      <c r="G307" s="20"/>
      <c r="N307" s="12"/>
    </row>
    <row r="308" spans="1:14" ht="15.75" x14ac:dyDescent="0.25">
      <c r="A308" s="13" t="s">
        <v>45</v>
      </c>
      <c r="F308" s="10" t="s">
        <v>51</v>
      </c>
      <c r="N308" s="12"/>
    </row>
    <row r="309" spans="1:14" x14ac:dyDescent="0.25">
      <c r="A309" s="11"/>
      <c r="N309" s="12"/>
    </row>
    <row r="310" spans="1:14" x14ac:dyDescent="0.25">
      <c r="A310" s="11"/>
      <c r="N310" s="12"/>
    </row>
    <row r="311" spans="1:14" x14ac:dyDescent="0.25">
      <c r="A311" s="11"/>
      <c r="N311" s="12"/>
    </row>
    <row r="312" spans="1:14" x14ac:dyDescent="0.25">
      <c r="A312" s="11"/>
      <c r="N312" s="12"/>
    </row>
    <row r="313" spans="1:14" x14ac:dyDescent="0.25">
      <c r="A313" s="11"/>
      <c r="N313" s="12"/>
    </row>
    <row r="314" spans="1:14" ht="15.75" x14ac:dyDescent="0.25">
      <c r="A314" s="13" t="s">
        <v>46</v>
      </c>
      <c r="F314" s="10" t="s">
        <v>52</v>
      </c>
      <c r="N314" s="12"/>
    </row>
    <row r="315" spans="1:14" x14ac:dyDescent="0.25">
      <c r="A315" s="11"/>
      <c r="N315" s="12"/>
    </row>
    <row r="316" spans="1:14" x14ac:dyDescent="0.25">
      <c r="A316" s="11"/>
      <c r="N316" s="12"/>
    </row>
    <row r="317" spans="1:14" x14ac:dyDescent="0.25">
      <c r="A317" s="11"/>
      <c r="N317" s="12"/>
    </row>
    <row r="318" spans="1:14" x14ac:dyDescent="0.25">
      <c r="A318" s="11"/>
      <c r="F318" s="10" t="s">
        <v>79</v>
      </c>
      <c r="N318" s="12"/>
    </row>
    <row r="319" spans="1:14" x14ac:dyDescent="0.25">
      <c r="A319" s="11"/>
      <c r="N319" s="12"/>
    </row>
    <row r="320" spans="1:14" x14ac:dyDescent="0.25">
      <c r="A320" s="11"/>
      <c r="N320" s="12"/>
    </row>
    <row r="321" spans="1:14" x14ac:dyDescent="0.25">
      <c r="A321" s="11"/>
      <c r="N321" s="12"/>
    </row>
    <row r="322" spans="1:14" x14ac:dyDescent="0.25">
      <c r="A322" s="11"/>
      <c r="F322" s="10" t="s">
        <v>70</v>
      </c>
      <c r="N322" s="12"/>
    </row>
    <row r="323" spans="1:14" x14ac:dyDescent="0.25">
      <c r="A323" s="11"/>
      <c r="N323" s="12"/>
    </row>
    <row r="324" spans="1:14" x14ac:dyDescent="0.25">
      <c r="A324" s="11"/>
      <c r="N324" s="12"/>
    </row>
    <row r="325" spans="1:14" x14ac:dyDescent="0.25">
      <c r="A325" s="11" t="s">
        <v>69</v>
      </c>
      <c r="F325" s="10" t="s">
        <v>71</v>
      </c>
      <c r="N325" s="12"/>
    </row>
    <row r="326" spans="1:14" x14ac:dyDescent="0.25">
      <c r="A326" s="11"/>
      <c r="N326" s="12"/>
    </row>
    <row r="327" spans="1:14" x14ac:dyDescent="0.25">
      <c r="A327" s="11"/>
      <c r="N327" s="12"/>
    </row>
    <row r="328" spans="1:14" x14ac:dyDescent="0.25">
      <c r="A328" s="11"/>
      <c r="N328" s="12"/>
    </row>
    <row r="329" spans="1:14" x14ac:dyDescent="0.25">
      <c r="A329" s="11"/>
      <c r="F329" s="10" t="s">
        <v>72</v>
      </c>
      <c r="N329" s="12"/>
    </row>
    <row r="330" spans="1:14" x14ac:dyDescent="0.25">
      <c r="A330" s="11"/>
      <c r="N330" s="12"/>
    </row>
    <row r="331" spans="1:14" x14ac:dyDescent="0.25">
      <c r="A331" s="11"/>
      <c r="N331" s="12"/>
    </row>
    <row r="332" spans="1:14" x14ac:dyDescent="0.25">
      <c r="A332" s="11"/>
      <c r="N332" s="12"/>
    </row>
    <row r="333" spans="1:14" x14ac:dyDescent="0.25">
      <c r="A333" s="11"/>
      <c r="N333" s="12"/>
    </row>
    <row r="334" spans="1:14" x14ac:dyDescent="0.25">
      <c r="A334" s="11"/>
      <c r="N334" s="12"/>
    </row>
    <row r="335" spans="1:14" x14ac:dyDescent="0.25">
      <c r="A335" s="11"/>
      <c r="N335" s="12"/>
    </row>
    <row r="336" spans="1:14" x14ac:dyDescent="0.25">
      <c r="A336" s="11"/>
      <c r="N336" s="12"/>
    </row>
    <row r="337" spans="1:14" x14ac:dyDescent="0.25">
      <c r="A337" s="11"/>
      <c r="N337" s="12"/>
    </row>
    <row r="338" spans="1:14" x14ac:dyDescent="0.25">
      <c r="A338" s="11"/>
      <c r="N338" s="12"/>
    </row>
    <row r="339" spans="1:14" ht="15.75" thickBot="1" x14ac:dyDescent="0.3">
      <c r="A339" s="15"/>
      <c r="B339" s="16"/>
      <c r="C339" s="16"/>
      <c r="D339" s="16"/>
      <c r="E339" s="16"/>
      <c r="F339" s="16"/>
      <c r="G339" s="16"/>
      <c r="H339" s="16"/>
      <c r="I339" s="16"/>
      <c r="J339" s="16"/>
      <c r="K339" s="16"/>
      <c r="L339" s="16"/>
      <c r="M339" s="16"/>
      <c r="N339" s="17"/>
    </row>
    <row r="340" spans="1:14" ht="27" thickBot="1" x14ac:dyDescent="0.45">
      <c r="A340" s="165" t="s">
        <v>94</v>
      </c>
      <c r="B340" s="166"/>
      <c r="C340" s="166"/>
      <c r="D340" s="166"/>
      <c r="E340" s="166"/>
      <c r="F340" s="166"/>
      <c r="G340" s="166"/>
      <c r="H340" s="166"/>
      <c r="I340" s="166"/>
      <c r="J340" s="166"/>
      <c r="K340" s="166"/>
      <c r="L340" s="166"/>
      <c r="M340" s="166"/>
      <c r="N340" s="167"/>
    </row>
    <row r="341" spans="1:14" x14ac:dyDescent="0.25">
      <c r="A341" s="25"/>
      <c r="B341" s="26"/>
      <c r="C341" s="26"/>
      <c r="D341" s="26"/>
      <c r="E341" s="26"/>
      <c r="F341" s="26"/>
      <c r="G341" s="26"/>
      <c r="H341" s="26"/>
      <c r="I341" s="26"/>
      <c r="J341" s="26"/>
      <c r="K341" s="26"/>
      <c r="L341" s="26"/>
      <c r="M341" s="26"/>
      <c r="N341" s="27"/>
    </row>
    <row r="342" spans="1:14" ht="15.75" x14ac:dyDescent="0.25">
      <c r="A342" s="13" t="s">
        <v>43</v>
      </c>
      <c r="E342" s="14" t="s">
        <v>47</v>
      </c>
      <c r="N342" s="12"/>
    </row>
    <row r="343" spans="1:14" x14ac:dyDescent="0.25">
      <c r="A343" s="11"/>
      <c r="F343" s="19" t="b">
        <v>0</v>
      </c>
      <c r="G343" s="18" t="s">
        <v>49</v>
      </c>
      <c r="H343" s="19" t="b">
        <v>0</v>
      </c>
      <c r="I343" s="10" t="s">
        <v>48</v>
      </c>
      <c r="N343" s="12"/>
    </row>
    <row r="344" spans="1:14" x14ac:dyDescent="0.25">
      <c r="A344" s="11"/>
      <c r="N344" s="12"/>
    </row>
    <row r="345" spans="1:14" x14ac:dyDescent="0.25">
      <c r="A345" s="11"/>
      <c r="N345" s="12"/>
    </row>
    <row r="346" spans="1:14" ht="15.75" x14ac:dyDescent="0.25">
      <c r="A346" s="13" t="s">
        <v>44</v>
      </c>
      <c r="G346" s="20" t="s">
        <v>50</v>
      </c>
      <c r="K346" s="10" t="s">
        <v>68</v>
      </c>
      <c r="N346" s="12"/>
    </row>
    <row r="347" spans="1:14" ht="15.75" x14ac:dyDescent="0.25">
      <c r="A347" s="13"/>
      <c r="N347" s="12"/>
    </row>
    <row r="348" spans="1:14" x14ac:dyDescent="0.25">
      <c r="A348" s="11"/>
      <c r="N348" s="12"/>
    </row>
    <row r="349" spans="1:14" x14ac:dyDescent="0.25">
      <c r="A349" s="11"/>
      <c r="N349" s="12"/>
    </row>
    <row r="350" spans="1:14" x14ac:dyDescent="0.25">
      <c r="A350" s="11"/>
      <c r="N350" s="12"/>
    </row>
    <row r="351" spans="1:14" x14ac:dyDescent="0.25">
      <c r="A351" s="11"/>
      <c r="G351" s="20"/>
      <c r="N351" s="12"/>
    </row>
    <row r="352" spans="1:14" ht="15.75" x14ac:dyDescent="0.25">
      <c r="A352" s="13" t="s">
        <v>45</v>
      </c>
      <c r="F352" s="10" t="s">
        <v>51</v>
      </c>
      <c r="N352" s="12"/>
    </row>
    <row r="353" spans="1:14" x14ac:dyDescent="0.25">
      <c r="A353" s="11"/>
      <c r="N353" s="12"/>
    </row>
    <row r="354" spans="1:14" x14ac:dyDescent="0.25">
      <c r="A354" s="11"/>
      <c r="N354" s="12"/>
    </row>
    <row r="355" spans="1:14" x14ac:dyDescent="0.25">
      <c r="A355" s="11"/>
      <c r="N355" s="12"/>
    </row>
    <row r="356" spans="1:14" x14ac:dyDescent="0.25">
      <c r="A356" s="11"/>
      <c r="N356" s="12"/>
    </row>
    <row r="357" spans="1:14" x14ac:dyDescent="0.25">
      <c r="A357" s="11"/>
      <c r="N357" s="12"/>
    </row>
    <row r="358" spans="1:14" ht="15.75" x14ac:dyDescent="0.25">
      <c r="A358" s="13" t="s">
        <v>46</v>
      </c>
      <c r="F358" s="10" t="s">
        <v>52</v>
      </c>
      <c r="N358" s="12"/>
    </row>
    <row r="359" spans="1:14" x14ac:dyDescent="0.25">
      <c r="A359" s="11"/>
      <c r="N359" s="12"/>
    </row>
    <row r="360" spans="1:14" x14ac:dyDescent="0.25">
      <c r="A360" s="11"/>
      <c r="N360" s="12"/>
    </row>
    <row r="361" spans="1:14" x14ac:dyDescent="0.25">
      <c r="A361" s="11"/>
      <c r="N361" s="12"/>
    </row>
    <row r="362" spans="1:14" x14ac:dyDescent="0.25">
      <c r="A362" s="11"/>
      <c r="N362" s="12"/>
    </row>
    <row r="363" spans="1:14" x14ac:dyDescent="0.25">
      <c r="A363" s="11"/>
      <c r="N363" s="12"/>
    </row>
    <row r="364" spans="1:14" x14ac:dyDescent="0.25">
      <c r="A364" s="11"/>
      <c r="F364" s="10" t="s">
        <v>79</v>
      </c>
      <c r="N364" s="12"/>
    </row>
    <row r="365" spans="1:14" x14ac:dyDescent="0.25">
      <c r="A365" s="11"/>
      <c r="N365" s="12"/>
    </row>
    <row r="366" spans="1:14" x14ac:dyDescent="0.25">
      <c r="A366" s="11"/>
      <c r="N366" s="12"/>
    </row>
    <row r="367" spans="1:14" x14ac:dyDescent="0.25">
      <c r="A367" s="11"/>
      <c r="N367" s="12"/>
    </row>
    <row r="368" spans="1:14" x14ac:dyDescent="0.25">
      <c r="A368" s="11"/>
      <c r="F368" s="10" t="s">
        <v>70</v>
      </c>
      <c r="N368" s="12"/>
    </row>
    <row r="369" spans="1:14" x14ac:dyDescent="0.25">
      <c r="A369" s="11" t="s">
        <v>69</v>
      </c>
      <c r="N369" s="12"/>
    </row>
    <row r="370" spans="1:14" x14ac:dyDescent="0.25">
      <c r="A370" s="11"/>
      <c r="N370" s="12"/>
    </row>
    <row r="371" spans="1:14" x14ac:dyDescent="0.25">
      <c r="A371" s="11"/>
      <c r="F371" s="10" t="s">
        <v>71</v>
      </c>
      <c r="N371" s="12"/>
    </row>
    <row r="372" spans="1:14" x14ac:dyDescent="0.25">
      <c r="A372" s="11"/>
      <c r="N372" s="12"/>
    </row>
    <row r="373" spans="1:14" x14ac:dyDescent="0.25">
      <c r="A373" s="11"/>
      <c r="N373" s="12"/>
    </row>
    <row r="374" spans="1:14" x14ac:dyDescent="0.25">
      <c r="A374" s="11"/>
      <c r="N374" s="12"/>
    </row>
    <row r="375" spans="1:14" x14ac:dyDescent="0.25">
      <c r="A375" s="11"/>
      <c r="F375" s="10" t="s">
        <v>72</v>
      </c>
      <c r="N375" s="12"/>
    </row>
    <row r="376" spans="1:14" x14ac:dyDescent="0.25">
      <c r="A376" s="11"/>
      <c r="N376" s="12"/>
    </row>
    <row r="377" spans="1:14" x14ac:dyDescent="0.25">
      <c r="A377" s="11"/>
      <c r="N377" s="12"/>
    </row>
    <row r="378" spans="1:14" x14ac:dyDescent="0.25">
      <c r="A378" s="11"/>
      <c r="N378" s="12"/>
    </row>
    <row r="379" spans="1:14" x14ac:dyDescent="0.25">
      <c r="A379" s="11"/>
      <c r="N379" s="12"/>
    </row>
    <row r="380" spans="1:14" x14ac:dyDescent="0.25">
      <c r="A380" s="11"/>
      <c r="N380" s="12"/>
    </row>
    <row r="381" spans="1:14" x14ac:dyDescent="0.25">
      <c r="A381" s="11"/>
      <c r="N381" s="12"/>
    </row>
    <row r="382" spans="1:14" x14ac:dyDescent="0.25">
      <c r="A382" s="11"/>
      <c r="N382" s="12"/>
    </row>
    <row r="383" spans="1:14" ht="15.75" thickBot="1" x14ac:dyDescent="0.3">
      <c r="A383" s="15"/>
      <c r="B383" s="16"/>
      <c r="C383" s="16"/>
      <c r="D383" s="16"/>
      <c r="E383" s="16"/>
      <c r="F383" s="16"/>
      <c r="G383" s="16"/>
      <c r="H383" s="16"/>
      <c r="I383" s="16"/>
      <c r="J383" s="16"/>
      <c r="K383" s="16"/>
      <c r="L383" s="16"/>
      <c r="M383" s="16"/>
      <c r="N383" s="17"/>
    </row>
    <row r="384" spans="1:14" ht="27" thickBot="1" x14ac:dyDescent="0.45">
      <c r="A384" s="165" t="s">
        <v>239</v>
      </c>
      <c r="B384" s="166"/>
      <c r="C384" s="166"/>
      <c r="D384" s="166"/>
      <c r="E384" s="166"/>
      <c r="F384" s="166"/>
      <c r="G384" s="166"/>
      <c r="H384" s="166"/>
      <c r="I384" s="166"/>
      <c r="J384" s="166"/>
      <c r="K384" s="166"/>
      <c r="L384" s="166"/>
      <c r="M384" s="166"/>
      <c r="N384" s="167"/>
    </row>
    <row r="385" spans="1:14" x14ac:dyDescent="0.25">
      <c r="A385" s="25"/>
      <c r="B385" s="26"/>
      <c r="C385" s="26"/>
      <c r="D385" s="26"/>
      <c r="E385" s="26"/>
      <c r="F385" s="26"/>
      <c r="G385" s="26"/>
      <c r="H385" s="26"/>
      <c r="I385" s="26"/>
      <c r="J385" s="26"/>
      <c r="K385" s="26"/>
      <c r="L385" s="26"/>
      <c r="M385" s="26"/>
      <c r="N385" s="27"/>
    </row>
    <row r="386" spans="1:14" ht="15.75" x14ac:dyDescent="0.25">
      <c r="A386" s="13" t="s">
        <v>43</v>
      </c>
      <c r="E386" s="14" t="s">
        <v>47</v>
      </c>
      <c r="N386" s="12"/>
    </row>
    <row r="387" spans="1:14" x14ac:dyDescent="0.25">
      <c r="A387" s="11"/>
      <c r="F387" s="19" t="b">
        <v>0</v>
      </c>
      <c r="G387" s="18" t="s">
        <v>49</v>
      </c>
      <c r="H387" s="19" t="b">
        <v>0</v>
      </c>
      <c r="I387" s="10" t="s">
        <v>48</v>
      </c>
      <c r="N387" s="12"/>
    </row>
    <row r="388" spans="1:14" x14ac:dyDescent="0.25">
      <c r="A388" s="11"/>
      <c r="N388" s="12"/>
    </row>
    <row r="389" spans="1:14" x14ac:dyDescent="0.25">
      <c r="A389" s="11"/>
      <c r="N389" s="12"/>
    </row>
    <row r="390" spans="1:14" ht="15.75" x14ac:dyDescent="0.25">
      <c r="A390" s="13" t="s">
        <v>44</v>
      </c>
      <c r="G390" s="20" t="s">
        <v>50</v>
      </c>
      <c r="K390" s="10" t="s">
        <v>68</v>
      </c>
      <c r="N390" s="12"/>
    </row>
    <row r="391" spans="1:14" ht="15.75" x14ac:dyDescent="0.25">
      <c r="A391" s="13"/>
      <c r="N391" s="12"/>
    </row>
    <row r="392" spans="1:14" x14ac:dyDescent="0.25">
      <c r="A392" s="11"/>
      <c r="N392" s="12"/>
    </row>
    <row r="393" spans="1:14" x14ac:dyDescent="0.25">
      <c r="A393" s="11"/>
      <c r="N393" s="12"/>
    </row>
    <row r="394" spans="1:14" x14ac:dyDescent="0.25">
      <c r="A394" s="11"/>
      <c r="N394" s="12"/>
    </row>
    <row r="395" spans="1:14" x14ac:dyDescent="0.25">
      <c r="A395" s="11"/>
      <c r="G395" s="20"/>
      <c r="N395" s="12"/>
    </row>
    <row r="396" spans="1:14" ht="15.75" x14ac:dyDescent="0.25">
      <c r="A396" s="13" t="s">
        <v>45</v>
      </c>
      <c r="F396" s="10" t="s">
        <v>51</v>
      </c>
      <c r="N396" s="12"/>
    </row>
    <row r="397" spans="1:14" x14ac:dyDescent="0.25">
      <c r="A397" s="11"/>
      <c r="N397" s="12"/>
    </row>
    <row r="398" spans="1:14" x14ac:dyDescent="0.25">
      <c r="A398" s="11"/>
      <c r="N398" s="12"/>
    </row>
    <row r="399" spans="1:14" x14ac:dyDescent="0.25">
      <c r="A399" s="11"/>
      <c r="N399" s="12"/>
    </row>
    <row r="400" spans="1:14" x14ac:dyDescent="0.25">
      <c r="A400" s="11"/>
      <c r="N400" s="12"/>
    </row>
    <row r="401" spans="1:14" x14ac:dyDescent="0.25">
      <c r="A401" s="11"/>
      <c r="N401" s="12"/>
    </row>
    <row r="402" spans="1:14" ht="15.75" x14ac:dyDescent="0.25">
      <c r="A402" s="13" t="s">
        <v>46</v>
      </c>
      <c r="F402" s="10" t="s">
        <v>52</v>
      </c>
      <c r="N402" s="12"/>
    </row>
    <row r="403" spans="1:14" x14ac:dyDescent="0.25">
      <c r="A403" s="11"/>
      <c r="N403" s="12"/>
    </row>
    <row r="404" spans="1:14" x14ac:dyDescent="0.25">
      <c r="A404" s="11"/>
      <c r="N404" s="12"/>
    </row>
    <row r="405" spans="1:14" x14ac:dyDescent="0.25">
      <c r="A405" s="11"/>
      <c r="N405" s="12"/>
    </row>
    <row r="406" spans="1:14" x14ac:dyDescent="0.25">
      <c r="A406" s="11"/>
      <c r="N406" s="12"/>
    </row>
    <row r="407" spans="1:14" x14ac:dyDescent="0.25">
      <c r="A407" s="11"/>
      <c r="N407" s="12"/>
    </row>
    <row r="408" spans="1:14" x14ac:dyDescent="0.25">
      <c r="A408" s="11"/>
      <c r="F408" s="10" t="s">
        <v>79</v>
      </c>
      <c r="N408" s="12"/>
    </row>
    <row r="409" spans="1:14" x14ac:dyDescent="0.25">
      <c r="A409" s="11"/>
      <c r="N409" s="12"/>
    </row>
    <row r="410" spans="1:14" x14ac:dyDescent="0.25">
      <c r="A410" s="11"/>
      <c r="N410" s="12"/>
    </row>
    <row r="411" spans="1:14" x14ac:dyDescent="0.25">
      <c r="A411" s="11"/>
      <c r="N411" s="12"/>
    </row>
    <row r="412" spans="1:14" x14ac:dyDescent="0.25">
      <c r="A412" s="11"/>
      <c r="F412" s="10" t="s">
        <v>70</v>
      </c>
      <c r="N412" s="12"/>
    </row>
    <row r="413" spans="1:14" x14ac:dyDescent="0.25">
      <c r="A413" s="11" t="s">
        <v>69</v>
      </c>
      <c r="N413" s="12"/>
    </row>
    <row r="414" spans="1:14" x14ac:dyDescent="0.25">
      <c r="A414" s="11"/>
      <c r="N414" s="12"/>
    </row>
    <row r="415" spans="1:14" x14ac:dyDescent="0.25">
      <c r="A415" s="11"/>
      <c r="N415" s="12"/>
    </row>
    <row r="416" spans="1:14" x14ac:dyDescent="0.25">
      <c r="A416" s="11"/>
      <c r="F416" s="10" t="s">
        <v>71</v>
      </c>
      <c r="N416" s="12"/>
    </row>
    <row r="417" spans="1:14" x14ac:dyDescent="0.25">
      <c r="A417" s="11"/>
      <c r="N417" s="12"/>
    </row>
    <row r="418" spans="1:14" x14ac:dyDescent="0.25">
      <c r="A418" s="11"/>
      <c r="N418" s="12"/>
    </row>
    <row r="419" spans="1:14" x14ac:dyDescent="0.25">
      <c r="A419" s="11"/>
      <c r="N419" s="12"/>
    </row>
    <row r="420" spans="1:14" x14ac:dyDescent="0.25">
      <c r="A420" s="11"/>
      <c r="F420" s="10" t="s">
        <v>72</v>
      </c>
      <c r="N420" s="12"/>
    </row>
    <row r="421" spans="1:14" x14ac:dyDescent="0.25">
      <c r="A421" s="11"/>
      <c r="N421" s="12"/>
    </row>
    <row r="422" spans="1:14" x14ac:dyDescent="0.25">
      <c r="A422" s="11"/>
      <c r="N422" s="12"/>
    </row>
    <row r="423" spans="1:14" x14ac:dyDescent="0.25">
      <c r="A423" s="11"/>
      <c r="N423" s="12"/>
    </row>
    <row r="424" spans="1:14" x14ac:dyDescent="0.25">
      <c r="A424" s="11"/>
      <c r="N424" s="12"/>
    </row>
    <row r="425" spans="1:14" x14ac:dyDescent="0.25">
      <c r="A425" s="11"/>
      <c r="N425" s="12"/>
    </row>
    <row r="426" spans="1:14" x14ac:dyDescent="0.25">
      <c r="A426" s="11"/>
      <c r="N426" s="12"/>
    </row>
    <row r="427" spans="1:14" ht="15.75" thickBot="1" x14ac:dyDescent="0.3">
      <c r="A427" s="15"/>
      <c r="B427" s="16"/>
      <c r="C427" s="16"/>
      <c r="D427" s="16"/>
      <c r="E427" s="16"/>
      <c r="F427" s="16"/>
      <c r="G427" s="16"/>
      <c r="H427" s="16"/>
      <c r="I427" s="16"/>
      <c r="J427" s="16"/>
      <c r="K427" s="16"/>
      <c r="L427" s="16"/>
      <c r="M427" s="16"/>
      <c r="N427" s="17"/>
    </row>
    <row r="428" spans="1:14" ht="27" thickBot="1" x14ac:dyDescent="0.45">
      <c r="A428" s="165" t="s">
        <v>96</v>
      </c>
      <c r="B428" s="166"/>
      <c r="C428" s="166"/>
      <c r="D428" s="166"/>
      <c r="E428" s="166"/>
      <c r="F428" s="166"/>
      <c r="G428" s="166"/>
      <c r="H428" s="166"/>
      <c r="I428" s="166"/>
      <c r="J428" s="166"/>
      <c r="K428" s="166"/>
      <c r="L428" s="166"/>
      <c r="M428" s="166"/>
      <c r="N428" s="167"/>
    </row>
    <row r="429" spans="1:14" x14ac:dyDescent="0.25">
      <c r="A429" s="25"/>
      <c r="B429" s="26"/>
      <c r="C429" s="26"/>
      <c r="D429" s="26"/>
      <c r="E429" s="26"/>
      <c r="F429" s="26"/>
      <c r="G429" s="26"/>
      <c r="H429" s="26"/>
      <c r="I429" s="26"/>
      <c r="J429" s="26"/>
      <c r="K429" s="26"/>
      <c r="L429" s="26"/>
      <c r="M429" s="26"/>
      <c r="N429" s="27"/>
    </row>
    <row r="430" spans="1:14" ht="15.75" x14ac:dyDescent="0.25">
      <c r="A430" s="13" t="s">
        <v>43</v>
      </c>
      <c r="E430" s="14" t="s">
        <v>47</v>
      </c>
      <c r="N430" s="12"/>
    </row>
    <row r="431" spans="1:14" x14ac:dyDescent="0.25">
      <c r="A431" s="11"/>
      <c r="F431" s="19" t="b">
        <v>0</v>
      </c>
      <c r="G431" s="18" t="s">
        <v>49</v>
      </c>
      <c r="H431" s="19" t="b">
        <v>0</v>
      </c>
      <c r="I431" s="10" t="s">
        <v>48</v>
      </c>
      <c r="N431" s="12"/>
    </row>
    <row r="432" spans="1:14" x14ac:dyDescent="0.25">
      <c r="A432" s="11"/>
      <c r="N432" s="12"/>
    </row>
    <row r="433" spans="1:14" x14ac:dyDescent="0.25">
      <c r="A433" s="11"/>
      <c r="N433" s="12"/>
    </row>
    <row r="434" spans="1:14" ht="15.75" x14ac:dyDescent="0.25">
      <c r="A434" s="13" t="s">
        <v>44</v>
      </c>
      <c r="G434" s="20" t="s">
        <v>50</v>
      </c>
      <c r="K434" s="10" t="s">
        <v>68</v>
      </c>
      <c r="N434" s="12"/>
    </row>
    <row r="435" spans="1:14" ht="15.75" x14ac:dyDescent="0.25">
      <c r="A435" s="13"/>
      <c r="N435" s="12"/>
    </row>
    <row r="436" spans="1:14" x14ac:dyDescent="0.25">
      <c r="A436" s="11"/>
      <c r="N436" s="12"/>
    </row>
    <row r="437" spans="1:14" x14ac:dyDescent="0.25">
      <c r="A437" s="11"/>
      <c r="N437" s="12"/>
    </row>
    <row r="438" spans="1:14" x14ac:dyDescent="0.25">
      <c r="A438" s="11"/>
      <c r="N438" s="12"/>
    </row>
    <row r="439" spans="1:14" x14ac:dyDescent="0.25">
      <c r="A439" s="11"/>
      <c r="G439" s="20"/>
      <c r="N439" s="12"/>
    </row>
    <row r="440" spans="1:14" ht="15.75" x14ac:dyDescent="0.25">
      <c r="A440" s="13" t="s">
        <v>45</v>
      </c>
      <c r="F440" s="10" t="s">
        <v>51</v>
      </c>
      <c r="N440" s="12"/>
    </row>
    <row r="441" spans="1:14" x14ac:dyDescent="0.25">
      <c r="A441" s="11"/>
      <c r="N441" s="12"/>
    </row>
    <row r="442" spans="1:14" x14ac:dyDescent="0.25">
      <c r="A442" s="11"/>
      <c r="N442" s="12"/>
    </row>
    <row r="443" spans="1:14" x14ac:dyDescent="0.25">
      <c r="A443" s="11"/>
      <c r="N443" s="12"/>
    </row>
    <row r="444" spans="1:14" x14ac:dyDescent="0.25">
      <c r="A444" s="11"/>
      <c r="N444" s="12"/>
    </row>
    <row r="445" spans="1:14" x14ac:dyDescent="0.25">
      <c r="A445" s="11"/>
      <c r="N445" s="12"/>
    </row>
    <row r="446" spans="1:14" ht="15.75" x14ac:dyDescent="0.25">
      <c r="A446" s="13" t="s">
        <v>46</v>
      </c>
      <c r="F446" s="10" t="s">
        <v>52</v>
      </c>
      <c r="N446" s="12"/>
    </row>
    <row r="447" spans="1:14" x14ac:dyDescent="0.25">
      <c r="A447" s="11"/>
      <c r="N447" s="12"/>
    </row>
    <row r="448" spans="1:14" x14ac:dyDescent="0.25">
      <c r="A448" s="11"/>
      <c r="N448" s="12"/>
    </row>
    <row r="449" spans="1:14" x14ac:dyDescent="0.25">
      <c r="A449" s="11"/>
      <c r="N449" s="12"/>
    </row>
    <row r="450" spans="1:14" x14ac:dyDescent="0.25">
      <c r="A450" s="11"/>
      <c r="F450" s="10" t="s">
        <v>79</v>
      </c>
      <c r="N450" s="12"/>
    </row>
    <row r="451" spans="1:14" x14ac:dyDescent="0.25">
      <c r="A451" s="11"/>
      <c r="N451" s="12"/>
    </row>
    <row r="452" spans="1:14" x14ac:dyDescent="0.25">
      <c r="A452" s="11"/>
      <c r="N452" s="12"/>
    </row>
    <row r="453" spans="1:14" x14ac:dyDescent="0.25">
      <c r="A453" s="11"/>
      <c r="N453" s="12"/>
    </row>
    <row r="454" spans="1:14" x14ac:dyDescent="0.25">
      <c r="A454" s="11"/>
      <c r="F454" s="10" t="s">
        <v>70</v>
      </c>
      <c r="N454" s="12"/>
    </row>
    <row r="455" spans="1:14" x14ac:dyDescent="0.25">
      <c r="A455" s="11"/>
      <c r="N455" s="12"/>
    </row>
    <row r="456" spans="1:14" x14ac:dyDescent="0.25">
      <c r="A456" s="11"/>
      <c r="N456" s="12"/>
    </row>
    <row r="457" spans="1:14" x14ac:dyDescent="0.25">
      <c r="A457" s="11" t="s">
        <v>69</v>
      </c>
      <c r="N457" s="12"/>
    </row>
    <row r="458" spans="1:14" x14ac:dyDescent="0.25">
      <c r="A458" s="11"/>
      <c r="N458" s="12"/>
    </row>
    <row r="459" spans="1:14" x14ac:dyDescent="0.25">
      <c r="A459" s="11"/>
      <c r="N459" s="12"/>
    </row>
    <row r="460" spans="1:14" x14ac:dyDescent="0.25">
      <c r="A460" s="11"/>
      <c r="N460" s="12"/>
    </row>
    <row r="461" spans="1:14" x14ac:dyDescent="0.25">
      <c r="A461" s="11"/>
      <c r="N461" s="12"/>
    </row>
    <row r="462" spans="1:14" x14ac:dyDescent="0.25">
      <c r="A462" s="11" t="s">
        <v>71</v>
      </c>
      <c r="N462" s="12"/>
    </row>
    <row r="463" spans="1:14" x14ac:dyDescent="0.25">
      <c r="A463" s="11"/>
      <c r="N463" s="12"/>
    </row>
    <row r="464" spans="1:14" x14ac:dyDescent="0.25">
      <c r="A464" s="11"/>
      <c r="N464" s="12"/>
    </row>
    <row r="465" spans="1:14" x14ac:dyDescent="0.25">
      <c r="A465" s="11"/>
      <c r="N465" s="12"/>
    </row>
    <row r="466" spans="1:14" x14ac:dyDescent="0.25">
      <c r="A466" s="11"/>
      <c r="N466" s="12"/>
    </row>
    <row r="467" spans="1:14" x14ac:dyDescent="0.25">
      <c r="A467" s="11" t="s">
        <v>72</v>
      </c>
      <c r="N467" s="12"/>
    </row>
    <row r="468" spans="1:14" x14ac:dyDescent="0.25">
      <c r="A468" s="11"/>
      <c r="N468" s="12"/>
    </row>
    <row r="469" spans="1:14" x14ac:dyDescent="0.25">
      <c r="A469" s="11"/>
      <c r="N469" s="12"/>
    </row>
    <row r="470" spans="1:14" x14ac:dyDescent="0.25">
      <c r="A470" s="11"/>
      <c r="N470" s="12"/>
    </row>
    <row r="471" spans="1:14" x14ac:dyDescent="0.25">
      <c r="A471" s="11"/>
      <c r="N471" s="12"/>
    </row>
    <row r="472" spans="1:14" ht="15.75" thickBot="1" x14ac:dyDescent="0.3">
      <c r="A472" s="15"/>
      <c r="B472" s="16"/>
      <c r="C472" s="16"/>
      <c r="D472" s="16"/>
      <c r="E472" s="16"/>
      <c r="F472" s="16"/>
      <c r="G472" s="16"/>
      <c r="H472" s="16"/>
      <c r="I472" s="16"/>
      <c r="J472" s="16"/>
      <c r="K472" s="16"/>
      <c r="L472" s="16"/>
      <c r="M472" s="16"/>
      <c r="N472" s="17"/>
    </row>
    <row r="473" spans="1:14" ht="27" thickBot="1" x14ac:dyDescent="0.45">
      <c r="A473" s="165" t="s">
        <v>98</v>
      </c>
      <c r="B473" s="166"/>
      <c r="C473" s="166"/>
      <c r="D473" s="166"/>
      <c r="E473" s="166"/>
      <c r="F473" s="166"/>
      <c r="G473" s="166"/>
      <c r="H473" s="166"/>
      <c r="I473" s="166"/>
      <c r="J473" s="166"/>
      <c r="K473" s="166"/>
      <c r="L473" s="166"/>
      <c r="M473" s="166"/>
      <c r="N473" s="167"/>
    </row>
    <row r="474" spans="1:14" x14ac:dyDescent="0.25">
      <c r="A474" s="25"/>
      <c r="B474" s="26"/>
      <c r="C474" s="26"/>
      <c r="D474" s="26"/>
      <c r="E474" s="26"/>
      <c r="F474" s="26"/>
      <c r="G474" s="26"/>
      <c r="H474" s="26"/>
      <c r="I474" s="26"/>
      <c r="J474" s="26"/>
      <c r="K474" s="26"/>
      <c r="L474" s="26"/>
      <c r="M474" s="26"/>
      <c r="N474" s="27"/>
    </row>
    <row r="475" spans="1:14" ht="15.75" x14ac:dyDescent="0.25">
      <c r="A475" s="13" t="s">
        <v>43</v>
      </c>
      <c r="E475" s="14" t="s">
        <v>47</v>
      </c>
      <c r="N475" s="12"/>
    </row>
    <row r="476" spans="1:14" x14ac:dyDescent="0.25">
      <c r="A476" s="11"/>
      <c r="F476" s="19" t="b">
        <v>0</v>
      </c>
      <c r="G476" s="18" t="s">
        <v>49</v>
      </c>
      <c r="H476" s="19" t="b">
        <v>0</v>
      </c>
      <c r="I476" s="10" t="s">
        <v>48</v>
      </c>
      <c r="N476" s="12"/>
    </row>
    <row r="477" spans="1:14" x14ac:dyDescent="0.25">
      <c r="A477" s="11"/>
      <c r="N477" s="12"/>
    </row>
    <row r="478" spans="1:14" x14ac:dyDescent="0.25">
      <c r="A478" s="11"/>
      <c r="N478" s="12"/>
    </row>
    <row r="479" spans="1:14" ht="15.75" x14ac:dyDescent="0.25">
      <c r="A479" s="13" t="s">
        <v>44</v>
      </c>
      <c r="G479" s="20" t="s">
        <v>50</v>
      </c>
      <c r="K479" s="10" t="s">
        <v>68</v>
      </c>
      <c r="N479" s="12"/>
    </row>
    <row r="480" spans="1:14" ht="15.75" x14ac:dyDescent="0.25">
      <c r="A480" s="13"/>
      <c r="N480" s="12"/>
    </row>
    <row r="481" spans="1:14" x14ac:dyDescent="0.25">
      <c r="A481" s="11"/>
      <c r="N481" s="12"/>
    </row>
    <row r="482" spans="1:14" x14ac:dyDescent="0.25">
      <c r="A482" s="11"/>
      <c r="N482" s="12"/>
    </row>
    <row r="483" spans="1:14" x14ac:dyDescent="0.25">
      <c r="A483" s="11"/>
      <c r="N483" s="12"/>
    </row>
    <row r="484" spans="1:14" x14ac:dyDescent="0.25">
      <c r="A484" s="11"/>
      <c r="G484" s="20"/>
      <c r="N484" s="12"/>
    </row>
    <row r="485" spans="1:14" ht="15.75" x14ac:dyDescent="0.25">
      <c r="A485" s="13" t="s">
        <v>45</v>
      </c>
      <c r="F485" s="10" t="s">
        <v>51</v>
      </c>
      <c r="N485" s="12"/>
    </row>
    <row r="486" spans="1:14" x14ac:dyDescent="0.25">
      <c r="A486" s="11"/>
      <c r="N486" s="12"/>
    </row>
    <row r="487" spans="1:14" x14ac:dyDescent="0.25">
      <c r="A487" s="11"/>
      <c r="N487" s="12"/>
    </row>
    <row r="488" spans="1:14" x14ac:dyDescent="0.25">
      <c r="A488" s="11"/>
      <c r="N488" s="12"/>
    </row>
    <row r="489" spans="1:14" x14ac:dyDescent="0.25">
      <c r="A489" s="11"/>
      <c r="N489" s="12"/>
    </row>
    <row r="490" spans="1:14" x14ac:dyDescent="0.25">
      <c r="A490" s="11"/>
      <c r="N490" s="12"/>
    </row>
    <row r="491" spans="1:14" ht="15.75" x14ac:dyDescent="0.25">
      <c r="A491" s="13" t="s">
        <v>46</v>
      </c>
      <c r="F491" s="10" t="s">
        <v>52</v>
      </c>
      <c r="N491" s="12"/>
    </row>
    <row r="492" spans="1:14" x14ac:dyDescent="0.25">
      <c r="A492" s="11"/>
      <c r="N492" s="12"/>
    </row>
    <row r="493" spans="1:14" x14ac:dyDescent="0.25">
      <c r="A493" s="11"/>
      <c r="N493" s="12"/>
    </row>
    <row r="494" spans="1:14" x14ac:dyDescent="0.25">
      <c r="A494" s="11"/>
      <c r="N494" s="12"/>
    </row>
    <row r="495" spans="1:14" x14ac:dyDescent="0.25">
      <c r="A495" s="11"/>
      <c r="F495" s="10" t="s">
        <v>79</v>
      </c>
      <c r="N495" s="12"/>
    </row>
    <row r="496" spans="1:14" x14ac:dyDescent="0.25">
      <c r="A496" s="11"/>
      <c r="N496" s="12"/>
    </row>
    <row r="497" spans="1:14" x14ac:dyDescent="0.25">
      <c r="A497" s="11"/>
      <c r="N497" s="12"/>
    </row>
    <row r="498" spans="1:14" x14ac:dyDescent="0.25">
      <c r="A498" s="11"/>
      <c r="N498" s="12"/>
    </row>
    <row r="499" spans="1:14" x14ac:dyDescent="0.25">
      <c r="A499" s="11"/>
      <c r="F499" s="10" t="s">
        <v>70</v>
      </c>
      <c r="N499" s="12"/>
    </row>
    <row r="500" spans="1:14" x14ac:dyDescent="0.25">
      <c r="A500" s="11"/>
      <c r="N500" s="12"/>
    </row>
    <row r="501" spans="1:14" x14ac:dyDescent="0.25">
      <c r="A501" s="11"/>
      <c r="N501" s="12"/>
    </row>
    <row r="502" spans="1:14" x14ac:dyDescent="0.25">
      <c r="A502" s="11" t="s">
        <v>69</v>
      </c>
      <c r="N502" s="12"/>
    </row>
    <row r="503" spans="1:14" x14ac:dyDescent="0.25">
      <c r="A503" s="11"/>
      <c r="N503" s="12"/>
    </row>
    <row r="504" spans="1:14" x14ac:dyDescent="0.25">
      <c r="A504" s="11"/>
      <c r="N504" s="12"/>
    </row>
    <row r="505" spans="1:14" x14ac:dyDescent="0.25">
      <c r="A505" s="11"/>
      <c r="N505" s="12"/>
    </row>
    <row r="506" spans="1:14" x14ac:dyDescent="0.25">
      <c r="A506" s="11"/>
      <c r="N506" s="12"/>
    </row>
    <row r="507" spans="1:14" x14ac:dyDescent="0.25">
      <c r="A507" s="11" t="s">
        <v>71</v>
      </c>
      <c r="N507" s="12"/>
    </row>
    <row r="508" spans="1:14" x14ac:dyDescent="0.25">
      <c r="A508" s="11"/>
      <c r="N508" s="12"/>
    </row>
    <row r="509" spans="1:14" x14ac:dyDescent="0.25">
      <c r="A509" s="11"/>
      <c r="N509" s="12"/>
    </row>
    <row r="510" spans="1:14" x14ac:dyDescent="0.25">
      <c r="A510" s="11"/>
      <c r="N510" s="12"/>
    </row>
    <row r="511" spans="1:14" x14ac:dyDescent="0.25">
      <c r="A511" s="11"/>
      <c r="N511" s="12"/>
    </row>
    <row r="512" spans="1:14" x14ac:dyDescent="0.25">
      <c r="A512" s="11" t="s">
        <v>72</v>
      </c>
      <c r="N512" s="12"/>
    </row>
    <row r="513" spans="1:14" x14ac:dyDescent="0.25">
      <c r="A513" s="11"/>
      <c r="N513" s="12"/>
    </row>
    <row r="514" spans="1:14" x14ac:dyDescent="0.25">
      <c r="A514" s="11"/>
      <c r="N514" s="12"/>
    </row>
    <row r="515" spans="1:14" x14ac:dyDescent="0.25">
      <c r="A515" s="11"/>
      <c r="N515" s="12"/>
    </row>
    <row r="516" spans="1:14" x14ac:dyDescent="0.25">
      <c r="A516" s="11"/>
      <c r="N516" s="12"/>
    </row>
    <row r="517" spans="1:14" ht="15.75" thickBot="1" x14ac:dyDescent="0.3">
      <c r="A517" s="15"/>
      <c r="B517" s="16"/>
      <c r="C517" s="16"/>
      <c r="D517" s="16"/>
      <c r="E517" s="16"/>
      <c r="F517" s="16"/>
      <c r="G517" s="16"/>
      <c r="H517" s="16"/>
      <c r="I517" s="16"/>
      <c r="J517" s="16"/>
      <c r="K517" s="16"/>
      <c r="L517" s="16"/>
      <c r="M517" s="16"/>
      <c r="N517" s="17"/>
    </row>
    <row r="518" spans="1:14" ht="27" thickBot="1" x14ac:dyDescent="0.45">
      <c r="A518" s="165" t="s">
        <v>179</v>
      </c>
      <c r="B518" s="166"/>
      <c r="C518" s="166"/>
      <c r="D518" s="166"/>
      <c r="E518" s="166"/>
      <c r="F518" s="166"/>
      <c r="G518" s="166"/>
      <c r="H518" s="166"/>
      <c r="I518" s="166"/>
      <c r="J518" s="166"/>
      <c r="K518" s="166"/>
      <c r="L518" s="166"/>
      <c r="M518" s="166"/>
      <c r="N518" s="167"/>
    </row>
    <row r="519" spans="1:14" x14ac:dyDescent="0.25">
      <c r="A519" s="25"/>
      <c r="B519" s="26"/>
      <c r="C519" s="26"/>
      <c r="D519" s="26"/>
      <c r="E519" s="26"/>
      <c r="F519" s="26"/>
      <c r="G519" s="26"/>
      <c r="H519" s="26"/>
      <c r="I519" s="26"/>
      <c r="J519" s="26"/>
      <c r="K519" s="26"/>
      <c r="L519" s="26"/>
      <c r="M519" s="26"/>
      <c r="N519" s="27"/>
    </row>
    <row r="520" spans="1:14" ht="15.75" x14ac:dyDescent="0.25">
      <c r="A520" s="13" t="s">
        <v>43</v>
      </c>
      <c r="E520" s="14" t="s">
        <v>47</v>
      </c>
      <c r="N520" s="12"/>
    </row>
    <row r="521" spans="1:14" x14ac:dyDescent="0.25">
      <c r="A521" s="11"/>
      <c r="F521" s="19" t="b">
        <v>1</v>
      </c>
      <c r="G521" s="18" t="s">
        <v>49</v>
      </c>
      <c r="H521" s="19" t="b">
        <v>0</v>
      </c>
      <c r="I521" s="10" t="s">
        <v>48</v>
      </c>
      <c r="N521" s="12"/>
    </row>
    <row r="522" spans="1:14" x14ac:dyDescent="0.25">
      <c r="A522" s="11"/>
      <c r="K522" s="10" t="s">
        <v>68</v>
      </c>
      <c r="N522" s="12"/>
    </row>
    <row r="523" spans="1:14" x14ac:dyDescent="0.25">
      <c r="A523" s="11"/>
      <c r="N523" s="12"/>
    </row>
    <row r="524" spans="1:14" ht="15.75" x14ac:dyDescent="0.25">
      <c r="A524" s="13" t="s">
        <v>44</v>
      </c>
      <c r="G524" s="20" t="s">
        <v>50</v>
      </c>
      <c r="N524" s="12"/>
    </row>
    <row r="525" spans="1:14" ht="15.75" x14ac:dyDescent="0.25">
      <c r="A525" s="13"/>
      <c r="N525" s="12"/>
    </row>
    <row r="526" spans="1:14" x14ac:dyDescent="0.25">
      <c r="A526" s="11"/>
      <c r="N526" s="12"/>
    </row>
    <row r="527" spans="1:14" x14ac:dyDescent="0.25">
      <c r="A527" s="11"/>
      <c r="N527" s="12"/>
    </row>
    <row r="528" spans="1:14" x14ac:dyDescent="0.25">
      <c r="A528" s="11"/>
      <c r="N528" s="12"/>
    </row>
    <row r="529" spans="1:14" x14ac:dyDescent="0.25">
      <c r="A529" s="11"/>
      <c r="G529" s="20"/>
      <c r="N529" s="12"/>
    </row>
    <row r="530" spans="1:14" ht="15.75" x14ac:dyDescent="0.25">
      <c r="A530" s="13" t="s">
        <v>45</v>
      </c>
      <c r="F530" s="10" t="s">
        <v>51</v>
      </c>
      <c r="N530" s="12"/>
    </row>
    <row r="531" spans="1:14" x14ac:dyDescent="0.25">
      <c r="A531" s="11"/>
      <c r="N531" s="12"/>
    </row>
    <row r="532" spans="1:14" x14ac:dyDescent="0.25">
      <c r="A532" s="11"/>
      <c r="N532" s="12"/>
    </row>
    <row r="533" spans="1:14" x14ac:dyDescent="0.25">
      <c r="A533" s="11"/>
      <c r="N533" s="12"/>
    </row>
    <row r="534" spans="1:14" x14ac:dyDescent="0.25">
      <c r="A534" s="11"/>
      <c r="N534" s="12"/>
    </row>
    <row r="535" spans="1:14" x14ac:dyDescent="0.25">
      <c r="A535" s="11"/>
      <c r="N535" s="12"/>
    </row>
    <row r="536" spans="1:14" ht="15.75" x14ac:dyDescent="0.25">
      <c r="A536" s="13" t="s">
        <v>46</v>
      </c>
      <c r="F536" s="10" t="s">
        <v>52</v>
      </c>
      <c r="N536" s="12"/>
    </row>
    <row r="537" spans="1:14" x14ac:dyDescent="0.25">
      <c r="A537" s="11"/>
      <c r="N537" s="12"/>
    </row>
    <row r="538" spans="1:14" x14ac:dyDescent="0.25">
      <c r="A538" s="11"/>
      <c r="N538" s="12"/>
    </row>
    <row r="539" spans="1:14" x14ac:dyDescent="0.25">
      <c r="A539" s="11"/>
      <c r="N539" s="12"/>
    </row>
    <row r="540" spans="1:14" x14ac:dyDescent="0.25">
      <c r="A540" s="11"/>
      <c r="F540" s="10" t="s">
        <v>79</v>
      </c>
      <c r="N540" s="12"/>
    </row>
    <row r="541" spans="1:14" x14ac:dyDescent="0.25">
      <c r="A541" s="11"/>
      <c r="N541" s="12"/>
    </row>
    <row r="542" spans="1:14" x14ac:dyDescent="0.25">
      <c r="A542" s="11"/>
      <c r="N542" s="12"/>
    </row>
    <row r="543" spans="1:14" x14ac:dyDescent="0.25">
      <c r="A543" s="11"/>
      <c r="N543" s="12"/>
    </row>
    <row r="544" spans="1:14" x14ac:dyDescent="0.25">
      <c r="A544" s="11"/>
      <c r="F544" s="10" t="s">
        <v>70</v>
      </c>
      <c r="N544" s="12"/>
    </row>
    <row r="545" spans="1:14" x14ac:dyDescent="0.25">
      <c r="A545" s="11"/>
      <c r="N545" s="12"/>
    </row>
    <row r="546" spans="1:14" x14ac:dyDescent="0.25">
      <c r="A546" s="11"/>
      <c r="N546" s="12"/>
    </row>
    <row r="547" spans="1:14" x14ac:dyDescent="0.25">
      <c r="A547" s="11" t="s">
        <v>71</v>
      </c>
      <c r="N547" s="12"/>
    </row>
    <row r="548" spans="1:14" x14ac:dyDescent="0.25">
      <c r="A548" s="11"/>
      <c r="N548" s="12"/>
    </row>
    <row r="549" spans="1:14" x14ac:dyDescent="0.25">
      <c r="A549" s="11"/>
      <c r="N549" s="12"/>
    </row>
    <row r="550" spans="1:14" x14ac:dyDescent="0.25">
      <c r="A550" s="11"/>
      <c r="N550" s="12"/>
    </row>
    <row r="551" spans="1:14" x14ac:dyDescent="0.25">
      <c r="A551" s="11"/>
      <c r="N551" s="12"/>
    </row>
    <row r="552" spans="1:14" x14ac:dyDescent="0.25">
      <c r="A552" s="11" t="s">
        <v>180</v>
      </c>
      <c r="N552" s="12"/>
    </row>
    <row r="553" spans="1:14" x14ac:dyDescent="0.25">
      <c r="A553" s="11"/>
      <c r="N553" s="12"/>
    </row>
    <row r="554" spans="1:14" x14ac:dyDescent="0.25">
      <c r="A554" s="11"/>
      <c r="F554" s="10" t="s">
        <v>72</v>
      </c>
      <c r="N554" s="12"/>
    </row>
    <row r="555" spans="1:14" x14ac:dyDescent="0.25">
      <c r="A555" s="11"/>
      <c r="N555" s="12"/>
    </row>
    <row r="556" spans="1:14" x14ac:dyDescent="0.25">
      <c r="A556" s="11"/>
      <c r="N556" s="12"/>
    </row>
    <row r="557" spans="1:14" x14ac:dyDescent="0.25">
      <c r="A557" s="11"/>
      <c r="N557" s="12"/>
    </row>
    <row r="558" spans="1:14" x14ac:dyDescent="0.25">
      <c r="A558" s="11"/>
      <c r="N558" s="12"/>
    </row>
    <row r="559" spans="1:14" x14ac:dyDescent="0.25">
      <c r="A559" s="11"/>
      <c r="N559" s="12"/>
    </row>
    <row r="560" spans="1:14" x14ac:dyDescent="0.25">
      <c r="A560" s="11"/>
      <c r="N560" s="12"/>
    </row>
    <row r="561" spans="1:14" x14ac:dyDescent="0.25">
      <c r="A561" s="11"/>
      <c r="N561" s="12"/>
    </row>
    <row r="562" spans="1:14" ht="15.75" thickBot="1" x14ac:dyDescent="0.3">
      <c r="A562" s="15"/>
      <c r="B562" s="16"/>
      <c r="C562" s="16"/>
      <c r="D562" s="16"/>
      <c r="E562" s="16"/>
      <c r="F562" s="16"/>
      <c r="G562" s="16"/>
      <c r="H562" s="16"/>
      <c r="I562" s="16"/>
      <c r="J562" s="16"/>
      <c r="K562" s="16"/>
      <c r="L562" s="16"/>
      <c r="M562" s="16"/>
      <c r="N562" s="17"/>
    </row>
    <row r="563" spans="1:14" ht="24.75" thickBot="1" x14ac:dyDescent="0.45">
      <c r="A563" s="175" t="s">
        <v>175</v>
      </c>
      <c r="B563" s="169"/>
      <c r="C563" s="169"/>
      <c r="D563" s="169"/>
      <c r="E563" s="169"/>
      <c r="F563" s="169"/>
      <c r="G563" s="169"/>
      <c r="H563" s="169"/>
      <c r="I563" s="169"/>
      <c r="J563" s="169"/>
      <c r="K563" s="169"/>
      <c r="L563" s="169"/>
      <c r="M563" s="169"/>
      <c r="N563" s="170"/>
    </row>
    <row r="564" spans="1:14" x14ac:dyDescent="0.25">
      <c r="A564" s="25"/>
      <c r="B564" s="26"/>
      <c r="C564" s="26"/>
      <c r="D564" s="26"/>
      <c r="E564" s="26"/>
      <c r="F564" s="26"/>
      <c r="G564" s="26"/>
      <c r="H564" s="26"/>
      <c r="I564" s="26"/>
      <c r="J564" s="26"/>
      <c r="K564" s="26"/>
      <c r="L564" s="26"/>
      <c r="M564" s="26"/>
      <c r="N564" s="27"/>
    </row>
    <row r="565" spans="1:14" ht="15.75" x14ac:dyDescent="0.25">
      <c r="A565" s="13" t="s">
        <v>43</v>
      </c>
      <c r="E565" s="14" t="s">
        <v>47</v>
      </c>
      <c r="N565" s="12"/>
    </row>
    <row r="566" spans="1:14" x14ac:dyDescent="0.25">
      <c r="A566" s="11"/>
      <c r="F566" s="19" t="b">
        <v>0</v>
      </c>
      <c r="G566" s="18" t="s">
        <v>49</v>
      </c>
      <c r="H566" s="19" t="b">
        <v>0</v>
      </c>
      <c r="I566" s="10" t="s">
        <v>48</v>
      </c>
      <c r="N566" s="12"/>
    </row>
    <row r="567" spans="1:14" x14ac:dyDescent="0.25">
      <c r="A567" s="11"/>
      <c r="N567" s="12"/>
    </row>
    <row r="568" spans="1:14" x14ac:dyDescent="0.25">
      <c r="A568" s="11"/>
      <c r="N568" s="12"/>
    </row>
    <row r="569" spans="1:14" ht="15.75" x14ac:dyDescent="0.25">
      <c r="A569" s="13" t="s">
        <v>44</v>
      </c>
      <c r="G569" s="20" t="s">
        <v>50</v>
      </c>
      <c r="K569" s="10" t="s">
        <v>68</v>
      </c>
      <c r="N569" s="12"/>
    </row>
    <row r="570" spans="1:14" ht="15.75" x14ac:dyDescent="0.25">
      <c r="A570" s="13"/>
      <c r="N570" s="12"/>
    </row>
    <row r="571" spans="1:14" x14ac:dyDescent="0.25">
      <c r="A571" s="11"/>
      <c r="N571" s="12"/>
    </row>
    <row r="572" spans="1:14" x14ac:dyDescent="0.25">
      <c r="A572" s="11"/>
      <c r="N572" s="12"/>
    </row>
    <row r="573" spans="1:14" x14ac:dyDescent="0.25">
      <c r="A573" s="11"/>
      <c r="N573" s="12"/>
    </row>
    <row r="574" spans="1:14" x14ac:dyDescent="0.25">
      <c r="A574" s="11"/>
      <c r="G574" s="20"/>
      <c r="N574" s="12"/>
    </row>
    <row r="575" spans="1:14" ht="15.75" x14ac:dyDescent="0.25">
      <c r="A575" s="13" t="s">
        <v>45</v>
      </c>
      <c r="F575" s="10" t="s">
        <v>51</v>
      </c>
      <c r="N575" s="12"/>
    </row>
    <row r="576" spans="1:14" x14ac:dyDescent="0.25">
      <c r="A576" s="11"/>
      <c r="N576" s="12"/>
    </row>
    <row r="577" spans="1:14" x14ac:dyDescent="0.25">
      <c r="A577" s="11"/>
      <c r="N577" s="12"/>
    </row>
    <row r="578" spans="1:14" x14ac:dyDescent="0.25">
      <c r="A578" s="11"/>
      <c r="N578" s="12"/>
    </row>
    <row r="579" spans="1:14" x14ac:dyDescent="0.25">
      <c r="A579" s="11"/>
      <c r="N579" s="12"/>
    </row>
    <row r="580" spans="1:14" x14ac:dyDescent="0.25">
      <c r="A580" s="11"/>
      <c r="N580" s="12"/>
    </row>
    <row r="581" spans="1:14" ht="15.75" x14ac:dyDescent="0.25">
      <c r="A581" s="13" t="s">
        <v>46</v>
      </c>
      <c r="F581" s="10" t="s">
        <v>52</v>
      </c>
      <c r="N581" s="12"/>
    </row>
    <row r="582" spans="1:14" x14ac:dyDescent="0.25">
      <c r="A582" s="11"/>
      <c r="N582" s="12"/>
    </row>
    <row r="583" spans="1:14" x14ac:dyDescent="0.25">
      <c r="A583" s="11"/>
      <c r="N583" s="12"/>
    </row>
    <row r="584" spans="1:14" x14ac:dyDescent="0.25">
      <c r="A584" s="11"/>
      <c r="N584" s="12"/>
    </row>
    <row r="585" spans="1:14" x14ac:dyDescent="0.25">
      <c r="A585" s="11"/>
      <c r="F585" s="10" t="s">
        <v>79</v>
      </c>
      <c r="N585" s="12"/>
    </row>
    <row r="586" spans="1:14" x14ac:dyDescent="0.25">
      <c r="A586" s="11"/>
      <c r="N586" s="12"/>
    </row>
    <row r="587" spans="1:14" x14ac:dyDescent="0.25">
      <c r="A587" s="11"/>
      <c r="N587" s="12"/>
    </row>
    <row r="588" spans="1:14" x14ac:dyDescent="0.25">
      <c r="A588" s="11"/>
      <c r="N588" s="12"/>
    </row>
    <row r="589" spans="1:14" x14ac:dyDescent="0.25">
      <c r="A589" s="11"/>
      <c r="F589" s="10" t="s">
        <v>70</v>
      </c>
      <c r="N589" s="12"/>
    </row>
    <row r="590" spans="1:14" x14ac:dyDescent="0.25">
      <c r="A590" s="11"/>
      <c r="N590" s="12"/>
    </row>
    <row r="591" spans="1:14" x14ac:dyDescent="0.25">
      <c r="A591" s="11"/>
      <c r="N591" s="12"/>
    </row>
    <row r="592" spans="1:14" x14ac:dyDescent="0.25">
      <c r="A592" s="11" t="s">
        <v>69</v>
      </c>
      <c r="N592" s="12"/>
    </row>
    <row r="593" spans="1:14" x14ac:dyDescent="0.25">
      <c r="A593" s="11"/>
      <c r="N593" s="12"/>
    </row>
    <row r="594" spans="1:14" x14ac:dyDescent="0.25">
      <c r="A594" s="11"/>
      <c r="N594" s="12"/>
    </row>
    <row r="595" spans="1:14" x14ac:dyDescent="0.25">
      <c r="A595" s="11"/>
      <c r="N595" s="12"/>
    </row>
    <row r="596" spans="1:14" x14ac:dyDescent="0.25">
      <c r="A596" s="11"/>
      <c r="N596" s="12"/>
    </row>
    <row r="597" spans="1:14" x14ac:dyDescent="0.25">
      <c r="A597" s="11"/>
      <c r="N597" s="12"/>
    </row>
    <row r="598" spans="1:14" x14ac:dyDescent="0.25">
      <c r="A598" s="11"/>
      <c r="N598" s="12"/>
    </row>
    <row r="599" spans="1:14" x14ac:dyDescent="0.25">
      <c r="A599" s="11"/>
      <c r="F599" s="10" t="s">
        <v>71</v>
      </c>
      <c r="N599" s="12"/>
    </row>
    <row r="600" spans="1:14" x14ac:dyDescent="0.25">
      <c r="A600" s="11"/>
      <c r="K600" s="10" t="s">
        <v>72</v>
      </c>
      <c r="N600" s="12"/>
    </row>
    <row r="601" spans="1:14" x14ac:dyDescent="0.25">
      <c r="A601" s="11"/>
      <c r="N601" s="12"/>
    </row>
    <row r="602" spans="1:14" x14ac:dyDescent="0.25">
      <c r="A602" s="11"/>
      <c r="N602" s="12"/>
    </row>
    <row r="603" spans="1:14" x14ac:dyDescent="0.25">
      <c r="A603" s="11"/>
      <c r="N603" s="12"/>
    </row>
    <row r="604" spans="1:14" ht="15.75" thickBot="1" x14ac:dyDescent="0.3">
      <c r="A604" s="15"/>
      <c r="B604" s="16"/>
      <c r="C604" s="16"/>
      <c r="D604" s="16"/>
      <c r="E604" s="16"/>
      <c r="F604" s="16"/>
      <c r="G604" s="16"/>
      <c r="H604" s="16"/>
      <c r="I604" s="16"/>
      <c r="J604" s="16"/>
      <c r="K604" s="16"/>
      <c r="L604" s="16"/>
      <c r="M604" s="16"/>
      <c r="N604" s="17"/>
    </row>
    <row r="605" spans="1:14" ht="25.5" thickBot="1" x14ac:dyDescent="0.45">
      <c r="A605" s="171" t="s">
        <v>176</v>
      </c>
      <c r="B605" s="172"/>
      <c r="C605" s="172"/>
      <c r="D605" s="172"/>
      <c r="E605" s="172"/>
      <c r="F605" s="172"/>
      <c r="G605" s="172"/>
      <c r="H605" s="172"/>
      <c r="I605" s="172"/>
      <c r="J605" s="172"/>
      <c r="K605" s="172"/>
      <c r="L605" s="172"/>
      <c r="M605" s="172"/>
      <c r="N605" s="173"/>
    </row>
    <row r="606" spans="1:14" x14ac:dyDescent="0.25">
      <c r="A606" s="25"/>
      <c r="B606" s="26"/>
      <c r="C606" s="26"/>
      <c r="D606" s="26"/>
      <c r="E606" s="26"/>
      <c r="F606" s="26"/>
      <c r="G606" s="26"/>
      <c r="H606" s="26"/>
      <c r="I606" s="26"/>
      <c r="J606" s="26"/>
      <c r="K606" s="26"/>
      <c r="L606" s="26"/>
      <c r="M606" s="26"/>
      <c r="N606" s="27"/>
    </row>
    <row r="607" spans="1:14" ht="15.75" x14ac:dyDescent="0.25">
      <c r="A607" s="13" t="s">
        <v>43</v>
      </c>
      <c r="E607" s="14" t="s">
        <v>47</v>
      </c>
      <c r="L607" s="10" t="s">
        <v>68</v>
      </c>
      <c r="N607" s="12"/>
    </row>
    <row r="608" spans="1:14" x14ac:dyDescent="0.25">
      <c r="A608" s="11"/>
      <c r="F608" s="19" t="b">
        <v>0</v>
      </c>
      <c r="G608" s="18" t="s">
        <v>49</v>
      </c>
      <c r="H608" s="19" t="b">
        <v>0</v>
      </c>
      <c r="I608" s="10" t="s">
        <v>48</v>
      </c>
      <c r="N608" s="12"/>
    </row>
    <row r="609" spans="1:14" x14ac:dyDescent="0.25">
      <c r="A609" s="11"/>
      <c r="N609" s="12"/>
    </row>
    <row r="610" spans="1:14" x14ac:dyDescent="0.25">
      <c r="A610" s="11"/>
      <c r="N610" s="12"/>
    </row>
    <row r="611" spans="1:14" ht="15.75" x14ac:dyDescent="0.25">
      <c r="A611" s="13" t="s">
        <v>44</v>
      </c>
      <c r="G611" s="20" t="s">
        <v>50</v>
      </c>
      <c r="N611" s="12"/>
    </row>
    <row r="612" spans="1:14" ht="15.75" x14ac:dyDescent="0.25">
      <c r="A612" s="13"/>
      <c r="N612" s="12"/>
    </row>
    <row r="613" spans="1:14" x14ac:dyDescent="0.25">
      <c r="A613" s="11"/>
      <c r="N613" s="12"/>
    </row>
    <row r="614" spans="1:14" x14ac:dyDescent="0.25">
      <c r="A614" s="11"/>
      <c r="N614" s="12"/>
    </row>
    <row r="615" spans="1:14" x14ac:dyDescent="0.25">
      <c r="A615" s="11"/>
      <c r="N615" s="12"/>
    </row>
    <row r="616" spans="1:14" x14ac:dyDescent="0.25">
      <c r="A616" s="11"/>
      <c r="G616" s="20"/>
      <c r="N616" s="12"/>
    </row>
    <row r="617" spans="1:14" ht="15.75" x14ac:dyDescent="0.25">
      <c r="A617" s="13" t="s">
        <v>45</v>
      </c>
      <c r="F617" s="10" t="s">
        <v>51</v>
      </c>
      <c r="N617" s="12"/>
    </row>
    <row r="618" spans="1:14" x14ac:dyDescent="0.25">
      <c r="A618" s="11"/>
      <c r="N618" s="12"/>
    </row>
    <row r="619" spans="1:14" x14ac:dyDescent="0.25">
      <c r="A619" s="11"/>
      <c r="N619" s="12"/>
    </row>
    <row r="620" spans="1:14" x14ac:dyDescent="0.25">
      <c r="A620" s="11"/>
      <c r="N620" s="12"/>
    </row>
    <row r="621" spans="1:14" x14ac:dyDescent="0.25">
      <c r="A621" s="11"/>
      <c r="N621" s="12"/>
    </row>
    <row r="622" spans="1:14" x14ac:dyDescent="0.25">
      <c r="A622" s="11"/>
      <c r="N622" s="12"/>
    </row>
    <row r="623" spans="1:14" ht="15.75" x14ac:dyDescent="0.25">
      <c r="A623" s="13" t="s">
        <v>46</v>
      </c>
      <c r="F623" s="10" t="s">
        <v>52</v>
      </c>
      <c r="N623" s="12"/>
    </row>
    <row r="624" spans="1:14" x14ac:dyDescent="0.25">
      <c r="A624" s="11"/>
      <c r="N624" s="12"/>
    </row>
    <row r="625" spans="1:14" x14ac:dyDescent="0.25">
      <c r="A625" s="11"/>
      <c r="N625" s="12"/>
    </row>
    <row r="626" spans="1:14" x14ac:dyDescent="0.25">
      <c r="A626" s="11"/>
      <c r="N626" s="12"/>
    </row>
    <row r="627" spans="1:14" x14ac:dyDescent="0.25">
      <c r="A627" s="11"/>
      <c r="F627" s="10" t="s">
        <v>79</v>
      </c>
      <c r="N627" s="12"/>
    </row>
    <row r="628" spans="1:14" x14ac:dyDescent="0.25">
      <c r="A628" s="11"/>
      <c r="N628" s="12"/>
    </row>
    <row r="629" spans="1:14" x14ac:dyDescent="0.25">
      <c r="A629" s="11"/>
      <c r="N629" s="12"/>
    </row>
    <row r="630" spans="1:14" x14ac:dyDescent="0.25">
      <c r="A630" s="11"/>
      <c r="F630" s="10" t="s">
        <v>70</v>
      </c>
      <c r="N630" s="12"/>
    </row>
    <row r="631" spans="1:14" x14ac:dyDescent="0.25">
      <c r="A631" s="11"/>
      <c r="F631"/>
      <c r="N631" s="12"/>
    </row>
    <row r="632" spans="1:14" x14ac:dyDescent="0.25">
      <c r="A632" s="11"/>
      <c r="N632" s="12"/>
    </row>
    <row r="633" spans="1:14" x14ac:dyDescent="0.25">
      <c r="A633" s="11"/>
      <c r="N633" s="12"/>
    </row>
    <row r="634" spans="1:14" x14ac:dyDescent="0.25">
      <c r="A634" s="11" t="s">
        <v>69</v>
      </c>
      <c r="N634" s="12"/>
    </row>
    <row r="635" spans="1:14" x14ac:dyDescent="0.25">
      <c r="A635" s="11"/>
      <c r="N635" s="12"/>
    </row>
    <row r="636" spans="1:14" x14ac:dyDescent="0.25">
      <c r="A636" s="11"/>
      <c r="N636" s="12"/>
    </row>
    <row r="637" spans="1:14" x14ac:dyDescent="0.25">
      <c r="A637" s="11"/>
      <c r="N637" s="12"/>
    </row>
    <row r="638" spans="1:14" x14ac:dyDescent="0.25">
      <c r="A638" s="11"/>
      <c r="N638" s="12"/>
    </row>
    <row r="639" spans="1:14" x14ac:dyDescent="0.25">
      <c r="A639" s="11"/>
      <c r="N639" s="12"/>
    </row>
    <row r="640" spans="1:14" x14ac:dyDescent="0.25">
      <c r="A640" s="11"/>
      <c r="N640" s="12"/>
    </row>
    <row r="641" spans="1:14" x14ac:dyDescent="0.25">
      <c r="A641" s="11"/>
      <c r="F641"/>
      <c r="N641" s="12"/>
    </row>
    <row r="642" spans="1:14" x14ac:dyDescent="0.25">
      <c r="A642" s="11"/>
      <c r="K642" s="10" t="s">
        <v>72</v>
      </c>
      <c r="N642" s="12"/>
    </row>
    <row r="643" spans="1:14" x14ac:dyDescent="0.25">
      <c r="A643" s="11"/>
      <c r="F643" s="10" t="s">
        <v>71</v>
      </c>
      <c r="N643" s="12"/>
    </row>
    <row r="644" spans="1:14" x14ac:dyDescent="0.25">
      <c r="A644" s="11"/>
      <c r="N644" s="12"/>
    </row>
    <row r="645" spans="1:14" x14ac:dyDescent="0.25">
      <c r="A645" s="11"/>
      <c r="N645" s="12"/>
    </row>
    <row r="646" spans="1:14" ht="15.75" thickBot="1" x14ac:dyDescent="0.3">
      <c r="A646" s="15"/>
      <c r="B646" s="16"/>
      <c r="C646" s="16"/>
      <c r="D646" s="16"/>
      <c r="E646" s="16"/>
      <c r="F646" s="16"/>
      <c r="G646" s="16"/>
      <c r="H646" s="16"/>
      <c r="I646" s="16"/>
      <c r="J646" s="16"/>
      <c r="K646" s="16"/>
      <c r="L646" s="16"/>
      <c r="M646" s="16"/>
      <c r="N646" s="17"/>
    </row>
    <row r="647" spans="1:14" ht="25.5" thickBot="1" x14ac:dyDescent="0.45">
      <c r="A647" s="171" t="s">
        <v>177</v>
      </c>
      <c r="B647" s="172"/>
      <c r="C647" s="172"/>
      <c r="D647" s="172"/>
      <c r="E647" s="172"/>
      <c r="F647" s="172"/>
      <c r="G647" s="172"/>
      <c r="H647" s="172"/>
      <c r="I647" s="172"/>
      <c r="J647" s="172"/>
      <c r="K647" s="172"/>
      <c r="L647" s="172"/>
      <c r="M647" s="172"/>
      <c r="N647" s="173"/>
    </row>
    <row r="648" spans="1:14" x14ac:dyDescent="0.25">
      <c r="A648" s="25"/>
      <c r="B648" s="26"/>
      <c r="C648" s="26"/>
      <c r="D648" s="26"/>
      <c r="E648" s="26"/>
      <c r="F648" s="26"/>
      <c r="G648" s="26"/>
      <c r="H648" s="26"/>
      <c r="I648" s="26"/>
      <c r="J648" s="26"/>
      <c r="K648" s="26"/>
      <c r="L648" s="26"/>
      <c r="M648" s="26"/>
      <c r="N648" s="27"/>
    </row>
    <row r="649" spans="1:14" ht="15.75" x14ac:dyDescent="0.25">
      <c r="A649" s="13" t="s">
        <v>43</v>
      </c>
      <c r="E649" s="14" t="s">
        <v>47</v>
      </c>
      <c r="N649" s="12"/>
    </row>
    <row r="650" spans="1:14" x14ac:dyDescent="0.25">
      <c r="A650" s="11"/>
      <c r="F650" s="19" t="b">
        <v>0</v>
      </c>
      <c r="G650" s="18" t="s">
        <v>49</v>
      </c>
      <c r="H650" s="19" t="b">
        <v>0</v>
      </c>
      <c r="I650" s="10" t="s">
        <v>48</v>
      </c>
      <c r="N650" s="12"/>
    </row>
    <row r="651" spans="1:14" x14ac:dyDescent="0.25">
      <c r="A651" s="11"/>
      <c r="N651" s="12"/>
    </row>
    <row r="652" spans="1:14" x14ac:dyDescent="0.25">
      <c r="A652" s="11"/>
      <c r="N652" s="12"/>
    </row>
    <row r="653" spans="1:14" ht="15.75" x14ac:dyDescent="0.25">
      <c r="A653" s="13" t="s">
        <v>44</v>
      </c>
      <c r="G653" s="20" t="s">
        <v>50</v>
      </c>
      <c r="K653" s="10" t="s">
        <v>68</v>
      </c>
      <c r="N653" s="12"/>
    </row>
    <row r="654" spans="1:14" ht="15.75" x14ac:dyDescent="0.25">
      <c r="A654" s="13"/>
      <c r="N654" s="12"/>
    </row>
    <row r="655" spans="1:14" x14ac:dyDescent="0.25">
      <c r="A655" s="11"/>
      <c r="N655" s="12"/>
    </row>
    <row r="656" spans="1:14" x14ac:dyDescent="0.25">
      <c r="A656" s="11"/>
      <c r="N656" s="12"/>
    </row>
    <row r="657" spans="1:14" x14ac:dyDescent="0.25">
      <c r="A657" s="11"/>
      <c r="N657" s="12"/>
    </row>
    <row r="658" spans="1:14" x14ac:dyDescent="0.25">
      <c r="A658" s="11"/>
      <c r="G658" s="20"/>
      <c r="N658" s="12"/>
    </row>
    <row r="659" spans="1:14" ht="15.75" x14ac:dyDescent="0.25">
      <c r="A659" s="13" t="s">
        <v>45</v>
      </c>
      <c r="F659" s="10" t="s">
        <v>51</v>
      </c>
      <c r="N659" s="12"/>
    </row>
    <row r="660" spans="1:14" x14ac:dyDescent="0.25">
      <c r="A660" s="11"/>
      <c r="N660" s="12"/>
    </row>
    <row r="661" spans="1:14" x14ac:dyDescent="0.25">
      <c r="A661" s="11"/>
      <c r="N661" s="12"/>
    </row>
    <row r="662" spans="1:14" x14ac:dyDescent="0.25">
      <c r="A662" s="11"/>
      <c r="N662" s="12"/>
    </row>
    <row r="663" spans="1:14" x14ac:dyDescent="0.25">
      <c r="A663" s="11"/>
      <c r="N663" s="12"/>
    </row>
    <row r="664" spans="1:14" x14ac:dyDescent="0.25">
      <c r="A664" s="11"/>
      <c r="N664" s="12"/>
    </row>
    <row r="665" spans="1:14" ht="15.75" x14ac:dyDescent="0.25">
      <c r="A665" s="13" t="s">
        <v>46</v>
      </c>
      <c r="F665" s="10" t="s">
        <v>52</v>
      </c>
      <c r="N665" s="12"/>
    </row>
    <row r="666" spans="1:14" x14ac:dyDescent="0.25">
      <c r="A666" s="11"/>
      <c r="N666" s="12"/>
    </row>
    <row r="667" spans="1:14" x14ac:dyDescent="0.25">
      <c r="A667" s="11"/>
      <c r="N667" s="12"/>
    </row>
    <row r="668" spans="1:14" x14ac:dyDescent="0.25">
      <c r="A668" s="11"/>
      <c r="N668" s="12"/>
    </row>
    <row r="669" spans="1:14" x14ac:dyDescent="0.25">
      <c r="A669" s="11"/>
      <c r="F669" s="10" t="s">
        <v>79</v>
      </c>
      <c r="N669" s="12"/>
    </row>
    <row r="670" spans="1:14" x14ac:dyDescent="0.25">
      <c r="A670" s="11"/>
      <c r="N670" s="12"/>
    </row>
    <row r="671" spans="1:14" x14ac:dyDescent="0.25">
      <c r="A671" s="11"/>
      <c r="N671" s="12"/>
    </row>
    <row r="672" spans="1:14" x14ac:dyDescent="0.25">
      <c r="A672" s="11"/>
      <c r="F672" s="10" t="s">
        <v>70</v>
      </c>
      <c r="N672" s="12"/>
    </row>
    <row r="673" spans="1:14" x14ac:dyDescent="0.25">
      <c r="A673" s="11"/>
      <c r="F673"/>
      <c r="N673" s="12"/>
    </row>
    <row r="674" spans="1:14" x14ac:dyDescent="0.25">
      <c r="A674" s="11"/>
      <c r="N674" s="12"/>
    </row>
    <row r="675" spans="1:14" x14ac:dyDescent="0.25">
      <c r="A675" s="11"/>
      <c r="N675" s="12"/>
    </row>
    <row r="676" spans="1:14" x14ac:dyDescent="0.25">
      <c r="A676" s="11" t="s">
        <v>69</v>
      </c>
      <c r="N676" s="12"/>
    </row>
    <row r="677" spans="1:14" x14ac:dyDescent="0.25">
      <c r="A677" s="11"/>
      <c r="N677" s="12"/>
    </row>
    <row r="678" spans="1:14" x14ac:dyDescent="0.25">
      <c r="A678" s="11"/>
      <c r="N678" s="12"/>
    </row>
    <row r="679" spans="1:14" x14ac:dyDescent="0.25">
      <c r="A679" s="11"/>
      <c r="N679" s="12"/>
    </row>
    <row r="680" spans="1:14" x14ac:dyDescent="0.25">
      <c r="A680" s="11"/>
      <c r="N680" s="12"/>
    </row>
    <row r="681" spans="1:14" x14ac:dyDescent="0.25">
      <c r="A681" s="11"/>
      <c r="N681" s="12"/>
    </row>
    <row r="682" spans="1:14" x14ac:dyDescent="0.25">
      <c r="A682" s="11"/>
      <c r="N682" s="12"/>
    </row>
    <row r="683" spans="1:14" x14ac:dyDescent="0.25">
      <c r="A683" s="11"/>
      <c r="F683"/>
      <c r="N683" s="12"/>
    </row>
    <row r="684" spans="1:14" x14ac:dyDescent="0.25">
      <c r="A684" s="11"/>
      <c r="K684" s="10" t="s">
        <v>72</v>
      </c>
      <c r="N684" s="12"/>
    </row>
    <row r="685" spans="1:14" x14ac:dyDescent="0.25">
      <c r="A685" s="11" t="s">
        <v>71</v>
      </c>
      <c r="N685" s="12"/>
    </row>
    <row r="686" spans="1:14" x14ac:dyDescent="0.25">
      <c r="A686" s="11"/>
      <c r="N686" s="12"/>
    </row>
    <row r="687" spans="1:14" x14ac:dyDescent="0.25">
      <c r="A687" s="11"/>
      <c r="N687" s="12"/>
    </row>
    <row r="688" spans="1:14" x14ac:dyDescent="0.25">
      <c r="A688" s="11"/>
      <c r="N688" s="12"/>
    </row>
    <row r="689" spans="1:14" ht="15.75" thickBot="1" x14ac:dyDescent="0.3">
      <c r="A689" s="15"/>
      <c r="B689" s="16"/>
      <c r="C689" s="16"/>
      <c r="D689" s="16"/>
      <c r="E689" s="16"/>
      <c r="F689" s="16"/>
      <c r="G689" s="16"/>
      <c r="H689" s="16"/>
      <c r="I689" s="16"/>
      <c r="J689" s="16"/>
      <c r="K689" s="16"/>
      <c r="L689" s="16"/>
      <c r="M689" s="16"/>
      <c r="N689" s="17"/>
    </row>
    <row r="690" spans="1:14" ht="25.5" thickBot="1" x14ac:dyDescent="0.45">
      <c r="A690" s="171" t="s">
        <v>178</v>
      </c>
      <c r="B690" s="172"/>
      <c r="C690" s="172"/>
      <c r="D690" s="172"/>
      <c r="E690" s="172"/>
      <c r="F690" s="172"/>
      <c r="G690" s="172"/>
      <c r="H690" s="172"/>
      <c r="I690" s="172"/>
      <c r="J690" s="172"/>
      <c r="K690" s="172"/>
      <c r="L690" s="172"/>
      <c r="M690" s="172"/>
      <c r="N690" s="173"/>
    </row>
    <row r="691" spans="1:14" x14ac:dyDescent="0.25">
      <c r="A691" s="25"/>
      <c r="B691" s="26"/>
      <c r="C691" s="26"/>
      <c r="D691" s="26"/>
      <c r="E691" s="26"/>
      <c r="F691" s="26"/>
      <c r="G691" s="26"/>
      <c r="H691" s="26"/>
      <c r="I691" s="26"/>
      <c r="J691" s="26"/>
      <c r="K691" s="26"/>
      <c r="L691" s="26"/>
      <c r="M691" s="26"/>
      <c r="N691" s="27"/>
    </row>
    <row r="692" spans="1:14" ht="15.75" x14ac:dyDescent="0.25">
      <c r="A692" s="13" t="s">
        <v>43</v>
      </c>
      <c r="E692" s="14" t="s">
        <v>47</v>
      </c>
      <c r="N692" s="12"/>
    </row>
    <row r="693" spans="1:14" x14ac:dyDescent="0.25">
      <c r="A693" s="11"/>
      <c r="F693" s="19" t="b">
        <v>0</v>
      </c>
      <c r="G693" s="18" t="s">
        <v>49</v>
      </c>
      <c r="H693" s="19" t="b">
        <v>0</v>
      </c>
      <c r="I693" s="10" t="s">
        <v>48</v>
      </c>
      <c r="N693" s="12"/>
    </row>
    <row r="694" spans="1:14" x14ac:dyDescent="0.25">
      <c r="A694" s="11"/>
      <c r="N694" s="12"/>
    </row>
    <row r="695" spans="1:14" x14ac:dyDescent="0.25">
      <c r="A695" s="11"/>
      <c r="N695" s="12"/>
    </row>
    <row r="696" spans="1:14" ht="15.75" x14ac:dyDescent="0.25">
      <c r="A696" s="13" t="s">
        <v>44</v>
      </c>
      <c r="G696" s="20" t="s">
        <v>50</v>
      </c>
      <c r="K696" s="10" t="s">
        <v>68</v>
      </c>
      <c r="N696" s="12"/>
    </row>
    <row r="697" spans="1:14" ht="15.75" x14ac:dyDescent="0.25">
      <c r="A697" s="13"/>
      <c r="N697" s="12"/>
    </row>
    <row r="698" spans="1:14" x14ac:dyDescent="0.25">
      <c r="A698" s="11"/>
      <c r="N698" s="12"/>
    </row>
    <row r="699" spans="1:14" x14ac:dyDescent="0.25">
      <c r="A699" s="11"/>
      <c r="N699" s="12"/>
    </row>
    <row r="700" spans="1:14" x14ac:dyDescent="0.25">
      <c r="A700" s="11"/>
      <c r="F700" s="10" t="s">
        <v>51</v>
      </c>
      <c r="N700" s="12"/>
    </row>
    <row r="701" spans="1:14" x14ac:dyDescent="0.25">
      <c r="A701" s="11"/>
      <c r="N701" s="12"/>
    </row>
    <row r="702" spans="1:14" ht="15.75" x14ac:dyDescent="0.25">
      <c r="A702" s="13" t="s">
        <v>45</v>
      </c>
      <c r="N702" s="12"/>
    </row>
    <row r="703" spans="1:14" x14ac:dyDescent="0.25">
      <c r="A703" s="11"/>
      <c r="N703" s="12"/>
    </row>
    <row r="704" spans="1:14" x14ac:dyDescent="0.25">
      <c r="A704" s="11"/>
      <c r="N704" s="12"/>
    </row>
    <row r="705" spans="1:14" x14ac:dyDescent="0.25">
      <c r="A705" s="11"/>
      <c r="N705" s="12"/>
    </row>
    <row r="706" spans="1:14" x14ac:dyDescent="0.25">
      <c r="A706" s="11"/>
      <c r="F706" s="10" t="s">
        <v>52</v>
      </c>
      <c r="N706" s="12"/>
    </row>
    <row r="707" spans="1:14" x14ac:dyDescent="0.25">
      <c r="A707" s="11"/>
      <c r="N707" s="12"/>
    </row>
    <row r="708" spans="1:14" ht="15.75" x14ac:dyDescent="0.25">
      <c r="A708" s="13" t="s">
        <v>46</v>
      </c>
      <c r="N708" s="12"/>
    </row>
    <row r="709" spans="1:14" x14ac:dyDescent="0.25">
      <c r="A709" s="11"/>
      <c r="N709" s="12"/>
    </row>
    <row r="710" spans="1:14" x14ac:dyDescent="0.25">
      <c r="A710" s="11"/>
      <c r="F710" s="10" t="s">
        <v>79</v>
      </c>
      <c r="N710" s="12"/>
    </row>
    <row r="711" spans="1:14" x14ac:dyDescent="0.25">
      <c r="A711" s="11"/>
      <c r="N711" s="12"/>
    </row>
    <row r="712" spans="1:14" x14ac:dyDescent="0.25">
      <c r="A712" s="11"/>
      <c r="N712" s="12"/>
    </row>
    <row r="713" spans="1:14" x14ac:dyDescent="0.25">
      <c r="A713" s="11"/>
      <c r="F713" s="10" t="s">
        <v>70</v>
      </c>
      <c r="N713" s="12"/>
    </row>
    <row r="714" spans="1:14" x14ac:dyDescent="0.25">
      <c r="A714" s="11"/>
      <c r="N714" s="12"/>
    </row>
    <row r="715" spans="1:14" x14ac:dyDescent="0.25">
      <c r="A715" s="11"/>
      <c r="N715" s="12"/>
    </row>
    <row r="716" spans="1:14" x14ac:dyDescent="0.25">
      <c r="A716" s="11"/>
      <c r="N716" s="12"/>
    </row>
    <row r="717" spans="1:14" x14ac:dyDescent="0.25">
      <c r="A717" s="11"/>
      <c r="N717" s="12"/>
    </row>
    <row r="718" spans="1:14" x14ac:dyDescent="0.25">
      <c r="A718" s="11" t="s">
        <v>69</v>
      </c>
      <c r="N718" s="12"/>
    </row>
    <row r="719" spans="1:14" x14ac:dyDescent="0.25">
      <c r="A719" s="11"/>
      <c r="N719" s="12"/>
    </row>
    <row r="720" spans="1:14" x14ac:dyDescent="0.25">
      <c r="A720" s="11"/>
      <c r="N720" s="12"/>
    </row>
    <row r="721" spans="1:14" x14ac:dyDescent="0.25">
      <c r="A721" s="11"/>
      <c r="N721" s="12"/>
    </row>
    <row r="722" spans="1:14" x14ac:dyDescent="0.25">
      <c r="A722" s="11"/>
      <c r="N722" s="12"/>
    </row>
    <row r="723" spans="1:14" x14ac:dyDescent="0.25">
      <c r="A723" s="11"/>
      <c r="N723" s="12"/>
    </row>
    <row r="724" spans="1:14" x14ac:dyDescent="0.25">
      <c r="A724" s="11"/>
      <c r="N724" s="12"/>
    </row>
    <row r="725" spans="1:14" x14ac:dyDescent="0.25">
      <c r="A725" s="11"/>
      <c r="N725" s="12"/>
    </row>
    <row r="726" spans="1:14" x14ac:dyDescent="0.25">
      <c r="A726" s="11"/>
      <c r="N726" s="12"/>
    </row>
    <row r="727" spans="1:14" x14ac:dyDescent="0.25">
      <c r="A727" s="11"/>
      <c r="K727" s="10" t="s">
        <v>72</v>
      </c>
      <c r="N727" s="12"/>
    </row>
    <row r="728" spans="1:14" x14ac:dyDescent="0.25">
      <c r="A728" s="11" t="s">
        <v>71</v>
      </c>
      <c r="N728" s="12"/>
    </row>
    <row r="729" spans="1:14" x14ac:dyDescent="0.25">
      <c r="A729" s="11"/>
      <c r="N729" s="12"/>
    </row>
    <row r="730" spans="1:14" x14ac:dyDescent="0.25">
      <c r="A730" s="11"/>
      <c r="N730" s="12"/>
    </row>
    <row r="731" spans="1:14" x14ac:dyDescent="0.25">
      <c r="A731" s="11"/>
      <c r="N731" s="12"/>
    </row>
    <row r="732" spans="1:14" x14ac:dyDescent="0.25">
      <c r="A732" s="11"/>
      <c r="N732" s="12"/>
    </row>
    <row r="733" spans="1:14" ht="15.75" thickBot="1" x14ac:dyDescent="0.3">
      <c r="A733" s="15"/>
      <c r="B733" s="16"/>
      <c r="C733" s="16"/>
      <c r="D733" s="16"/>
      <c r="E733" s="16"/>
      <c r="F733" s="16"/>
      <c r="G733" s="16"/>
      <c r="H733" s="16"/>
      <c r="I733" s="16"/>
      <c r="J733" s="16"/>
      <c r="K733" s="16"/>
      <c r="L733" s="16"/>
      <c r="M733" s="16"/>
      <c r="N733" s="17"/>
    </row>
    <row r="734" spans="1:14" ht="24.75" thickBot="1" x14ac:dyDescent="0.45">
      <c r="A734" s="175" t="s">
        <v>186</v>
      </c>
      <c r="B734" s="169"/>
      <c r="C734" s="169"/>
      <c r="D734" s="169"/>
      <c r="E734" s="169"/>
      <c r="F734" s="169"/>
      <c r="G734" s="169"/>
      <c r="H734" s="169"/>
      <c r="I734" s="169"/>
      <c r="J734" s="169"/>
      <c r="K734" s="169"/>
      <c r="L734" s="169"/>
      <c r="M734" s="169"/>
      <c r="N734" s="170"/>
    </row>
    <row r="735" spans="1:14" x14ac:dyDescent="0.25">
      <c r="A735" s="25"/>
      <c r="B735" s="26"/>
      <c r="C735" s="26"/>
      <c r="D735" s="26"/>
      <c r="E735" s="26"/>
      <c r="F735" s="26"/>
      <c r="G735" s="26"/>
      <c r="H735" s="26"/>
      <c r="I735" s="26"/>
      <c r="J735" s="26"/>
      <c r="K735" s="26"/>
      <c r="L735" s="26"/>
      <c r="M735" s="26"/>
      <c r="N735" s="27"/>
    </row>
    <row r="736" spans="1:14" ht="15.75" x14ac:dyDescent="0.25">
      <c r="A736" s="13" t="s">
        <v>43</v>
      </c>
      <c r="E736" s="14" t="s">
        <v>47</v>
      </c>
      <c r="N736" s="12"/>
    </row>
    <row r="737" spans="1:14" x14ac:dyDescent="0.25">
      <c r="A737" s="11"/>
      <c r="F737" s="19" t="b">
        <v>0</v>
      </c>
      <c r="G737" s="18" t="s">
        <v>49</v>
      </c>
      <c r="H737" s="19" t="b">
        <v>0</v>
      </c>
      <c r="I737" s="10" t="s">
        <v>48</v>
      </c>
      <c r="K737" s="10" t="s">
        <v>68</v>
      </c>
      <c r="N737" s="12"/>
    </row>
    <row r="738" spans="1:14" x14ac:dyDescent="0.25">
      <c r="A738" s="11"/>
      <c r="N738" s="12"/>
    </row>
    <row r="739" spans="1:14" x14ac:dyDescent="0.25">
      <c r="A739" s="11"/>
      <c r="N739" s="12"/>
    </row>
    <row r="740" spans="1:14" ht="15.75" x14ac:dyDescent="0.25">
      <c r="A740" s="13" t="s">
        <v>44</v>
      </c>
      <c r="G740" s="20" t="s">
        <v>50</v>
      </c>
      <c r="N740" s="12"/>
    </row>
    <row r="741" spans="1:14" ht="15.75" x14ac:dyDescent="0.25">
      <c r="A741" s="13"/>
      <c r="N741" s="12"/>
    </row>
    <row r="742" spans="1:14" x14ac:dyDescent="0.25">
      <c r="A742" s="11"/>
      <c r="N742" s="12"/>
    </row>
    <row r="743" spans="1:14" x14ac:dyDescent="0.25">
      <c r="A743" s="11"/>
      <c r="N743" s="12"/>
    </row>
    <row r="744" spans="1:14" x14ac:dyDescent="0.25">
      <c r="A744" s="11"/>
      <c r="F744" s="10" t="s">
        <v>51</v>
      </c>
      <c r="N744" s="12"/>
    </row>
    <row r="745" spans="1:14" x14ac:dyDescent="0.25">
      <c r="A745" s="11"/>
      <c r="N745" s="12"/>
    </row>
    <row r="746" spans="1:14" ht="15.75" x14ac:dyDescent="0.25">
      <c r="A746" s="13" t="s">
        <v>45</v>
      </c>
      <c r="N746" s="12"/>
    </row>
    <row r="747" spans="1:14" x14ac:dyDescent="0.25">
      <c r="A747" s="11"/>
      <c r="N747" s="12"/>
    </row>
    <row r="748" spans="1:14" x14ac:dyDescent="0.25">
      <c r="A748" s="11"/>
      <c r="N748" s="12"/>
    </row>
    <row r="749" spans="1:14" x14ac:dyDescent="0.25">
      <c r="A749" s="11"/>
      <c r="N749" s="12"/>
    </row>
    <row r="750" spans="1:14" x14ac:dyDescent="0.25">
      <c r="A750" s="11"/>
      <c r="F750" s="10" t="s">
        <v>52</v>
      </c>
      <c r="N750" s="12"/>
    </row>
    <row r="751" spans="1:14" x14ac:dyDescent="0.25">
      <c r="A751" s="11"/>
      <c r="N751" s="12"/>
    </row>
    <row r="752" spans="1:14" ht="15.75" x14ac:dyDescent="0.25">
      <c r="A752" s="13" t="s">
        <v>46</v>
      </c>
      <c r="N752" s="12"/>
    </row>
    <row r="753" spans="1:14" x14ac:dyDescent="0.25">
      <c r="A753" s="11"/>
      <c r="N753" s="12"/>
    </row>
    <row r="754" spans="1:14" x14ac:dyDescent="0.25">
      <c r="A754" s="11"/>
      <c r="G754" s="10" t="s">
        <v>79</v>
      </c>
      <c r="N754" s="12"/>
    </row>
    <row r="755" spans="1:14" x14ac:dyDescent="0.25">
      <c r="A755" s="11"/>
      <c r="N755" s="12"/>
    </row>
    <row r="756" spans="1:14" x14ac:dyDescent="0.25">
      <c r="A756" s="11"/>
      <c r="N756" s="12"/>
    </row>
    <row r="757" spans="1:14" x14ac:dyDescent="0.25">
      <c r="A757" s="11"/>
      <c r="G757" s="10" t="s">
        <v>70</v>
      </c>
      <c r="N757" s="12"/>
    </row>
    <row r="758" spans="1:14" x14ac:dyDescent="0.25">
      <c r="A758" s="11"/>
      <c r="N758" s="12"/>
    </row>
    <row r="759" spans="1:14" x14ac:dyDescent="0.25">
      <c r="A759" s="11"/>
      <c r="N759" s="12"/>
    </row>
    <row r="760" spans="1:14" x14ac:dyDescent="0.25">
      <c r="A760" s="11"/>
      <c r="N760" s="12"/>
    </row>
    <row r="761" spans="1:14" x14ac:dyDescent="0.25">
      <c r="A761" s="11" t="s">
        <v>69</v>
      </c>
      <c r="N761" s="12"/>
    </row>
    <row r="762" spans="1:14" x14ac:dyDescent="0.25">
      <c r="A762" s="11"/>
      <c r="N762" s="12"/>
    </row>
    <row r="763" spans="1:14" x14ac:dyDescent="0.25">
      <c r="A763" s="11"/>
      <c r="N763" s="12"/>
    </row>
    <row r="764" spans="1:14" x14ac:dyDescent="0.25">
      <c r="A764" s="11"/>
      <c r="N764" s="12"/>
    </row>
    <row r="765" spans="1:14" x14ac:dyDescent="0.25">
      <c r="A765" s="11"/>
      <c r="N765" s="12"/>
    </row>
    <row r="766" spans="1:14" x14ac:dyDescent="0.25">
      <c r="A766" s="11"/>
      <c r="N766" s="12"/>
    </row>
    <row r="767" spans="1:14" x14ac:dyDescent="0.25">
      <c r="A767" s="11"/>
      <c r="N767" s="12"/>
    </row>
    <row r="768" spans="1:14" x14ac:dyDescent="0.25">
      <c r="A768" s="11"/>
      <c r="N768" s="12"/>
    </row>
    <row r="769" spans="1:14" x14ac:dyDescent="0.25">
      <c r="A769" s="11"/>
      <c r="N769" s="12"/>
    </row>
    <row r="770" spans="1:14" x14ac:dyDescent="0.25">
      <c r="A770" s="11"/>
      <c r="N770" s="12"/>
    </row>
    <row r="771" spans="1:14" x14ac:dyDescent="0.25">
      <c r="A771" s="11"/>
      <c r="N771" s="12"/>
    </row>
    <row r="772" spans="1:14" x14ac:dyDescent="0.25">
      <c r="A772" s="11"/>
      <c r="N772" s="12"/>
    </row>
    <row r="773" spans="1:14" x14ac:dyDescent="0.25">
      <c r="A773" s="11"/>
      <c r="K773" s="10" t="s">
        <v>72</v>
      </c>
      <c r="N773" s="12"/>
    </row>
    <row r="774" spans="1:14" x14ac:dyDescent="0.25">
      <c r="A774" s="11"/>
      <c r="N774" s="12"/>
    </row>
    <row r="775" spans="1:14" x14ac:dyDescent="0.25">
      <c r="A775" s="11"/>
      <c r="N775" s="12"/>
    </row>
    <row r="776" spans="1:14" x14ac:dyDescent="0.25">
      <c r="A776" s="11" t="s">
        <v>71</v>
      </c>
      <c r="N776" s="12"/>
    </row>
    <row r="777" spans="1:14" x14ac:dyDescent="0.25">
      <c r="A777" s="11"/>
      <c r="N777" s="12"/>
    </row>
    <row r="778" spans="1:14" x14ac:dyDescent="0.25">
      <c r="A778" s="11"/>
      <c r="N778" s="12"/>
    </row>
    <row r="779" spans="1:14" x14ac:dyDescent="0.25">
      <c r="A779" s="11"/>
      <c r="N779" s="12"/>
    </row>
    <row r="780" spans="1:14" x14ac:dyDescent="0.25">
      <c r="A780" s="11"/>
      <c r="N780" s="12"/>
    </row>
    <row r="781" spans="1:14" ht="15.75" thickBot="1" x14ac:dyDescent="0.3">
      <c r="A781" s="15"/>
      <c r="B781" s="16"/>
      <c r="C781" s="16"/>
      <c r="D781" s="16"/>
      <c r="E781" s="16"/>
      <c r="F781" s="16"/>
      <c r="G781" s="16"/>
      <c r="H781" s="16"/>
      <c r="I781" s="16"/>
      <c r="J781" s="16"/>
      <c r="K781" s="16"/>
      <c r="L781" s="16"/>
      <c r="M781" s="16"/>
      <c r="N781" s="17"/>
    </row>
    <row r="782" spans="1:14" ht="24.75" thickBot="1" x14ac:dyDescent="0.45">
      <c r="A782" s="168" t="s">
        <v>187</v>
      </c>
      <c r="B782" s="169"/>
      <c r="C782" s="169"/>
      <c r="D782" s="169"/>
      <c r="E782" s="169"/>
      <c r="F782" s="169"/>
      <c r="G782" s="169"/>
      <c r="H782" s="169"/>
      <c r="I782" s="169"/>
      <c r="J782" s="169"/>
      <c r="K782" s="169"/>
      <c r="L782" s="169"/>
      <c r="M782" s="169"/>
      <c r="N782" s="170"/>
    </row>
    <row r="783" spans="1:14" x14ac:dyDescent="0.25">
      <c r="A783" s="25"/>
      <c r="B783" s="26"/>
      <c r="C783" s="26"/>
      <c r="D783" s="26"/>
      <c r="E783" s="26"/>
      <c r="F783" s="26"/>
      <c r="G783" s="26"/>
      <c r="H783" s="26"/>
      <c r="I783" s="26"/>
      <c r="J783" s="26"/>
      <c r="K783" s="26"/>
      <c r="L783" s="26"/>
      <c r="M783" s="26"/>
      <c r="N783" s="27"/>
    </row>
    <row r="784" spans="1:14" ht="15.75" x14ac:dyDescent="0.25">
      <c r="A784" s="13" t="s">
        <v>43</v>
      </c>
      <c r="E784" s="14" t="s">
        <v>47</v>
      </c>
      <c r="N784" s="12"/>
    </row>
    <row r="785" spans="1:14" x14ac:dyDescent="0.25">
      <c r="A785" s="11"/>
      <c r="F785" s="19" t="b">
        <v>0</v>
      </c>
      <c r="G785" s="18" t="s">
        <v>49</v>
      </c>
      <c r="H785" s="19" t="b">
        <v>0</v>
      </c>
      <c r="I785" s="10" t="s">
        <v>48</v>
      </c>
      <c r="K785" s="10" t="s">
        <v>68</v>
      </c>
      <c r="N785" s="12"/>
    </row>
    <row r="786" spans="1:14" x14ac:dyDescent="0.25">
      <c r="A786" s="11"/>
      <c r="N786" s="12"/>
    </row>
    <row r="787" spans="1:14" x14ac:dyDescent="0.25">
      <c r="A787" s="11"/>
      <c r="N787" s="12"/>
    </row>
    <row r="788" spans="1:14" ht="15.75" x14ac:dyDescent="0.25">
      <c r="A788" s="13" t="s">
        <v>44</v>
      </c>
      <c r="G788" s="20" t="s">
        <v>50</v>
      </c>
      <c r="N788" s="12"/>
    </row>
    <row r="789" spans="1:14" ht="15.75" x14ac:dyDescent="0.25">
      <c r="A789" s="13"/>
      <c r="N789" s="12"/>
    </row>
    <row r="790" spans="1:14" x14ac:dyDescent="0.25">
      <c r="A790" s="11"/>
      <c r="N790" s="12"/>
    </row>
    <row r="791" spans="1:14" x14ac:dyDescent="0.25">
      <c r="A791" s="11"/>
      <c r="N791" s="12"/>
    </row>
    <row r="792" spans="1:14" x14ac:dyDescent="0.25">
      <c r="A792" s="11"/>
      <c r="F792" s="10" t="s">
        <v>51</v>
      </c>
      <c r="N792" s="12"/>
    </row>
    <row r="793" spans="1:14" x14ac:dyDescent="0.25">
      <c r="A793" s="11"/>
      <c r="N793" s="12"/>
    </row>
    <row r="794" spans="1:14" ht="15.75" x14ac:dyDescent="0.25">
      <c r="A794" s="13" t="s">
        <v>45</v>
      </c>
      <c r="N794" s="12"/>
    </row>
    <row r="795" spans="1:14" x14ac:dyDescent="0.25">
      <c r="A795" s="11"/>
      <c r="N795" s="12"/>
    </row>
    <row r="796" spans="1:14" x14ac:dyDescent="0.25">
      <c r="A796" s="11"/>
      <c r="N796" s="12"/>
    </row>
    <row r="797" spans="1:14" x14ac:dyDescent="0.25">
      <c r="A797" s="11"/>
      <c r="N797" s="12"/>
    </row>
    <row r="798" spans="1:14" x14ac:dyDescent="0.25">
      <c r="A798" s="11"/>
      <c r="F798" s="10" t="s">
        <v>52</v>
      </c>
      <c r="N798" s="12"/>
    </row>
    <row r="799" spans="1:14" x14ac:dyDescent="0.25">
      <c r="A799" s="11"/>
      <c r="N799" s="12"/>
    </row>
    <row r="800" spans="1:14" ht="15.75" x14ac:dyDescent="0.25">
      <c r="A800" s="13" t="s">
        <v>46</v>
      </c>
      <c r="N800" s="12"/>
    </row>
    <row r="801" spans="1:14" x14ac:dyDescent="0.25">
      <c r="A801" s="11"/>
      <c r="N801" s="12"/>
    </row>
    <row r="802" spans="1:14" x14ac:dyDescent="0.25">
      <c r="A802" s="11"/>
      <c r="F802" s="10" t="s">
        <v>79</v>
      </c>
      <c r="N802" s="12"/>
    </row>
    <row r="803" spans="1:14" x14ac:dyDescent="0.25">
      <c r="A803" s="11"/>
      <c r="N803" s="12"/>
    </row>
    <row r="804" spans="1:14" x14ac:dyDescent="0.25">
      <c r="A804" s="11"/>
      <c r="N804" s="12"/>
    </row>
    <row r="805" spans="1:14" x14ac:dyDescent="0.25">
      <c r="A805" s="11"/>
      <c r="N805" s="12"/>
    </row>
    <row r="806" spans="1:14" x14ac:dyDescent="0.25">
      <c r="A806" s="11"/>
      <c r="N806" s="12"/>
    </row>
    <row r="807" spans="1:14" x14ac:dyDescent="0.25">
      <c r="A807" s="11"/>
      <c r="F807" s="10" t="s">
        <v>70</v>
      </c>
      <c r="N807" s="12"/>
    </row>
    <row r="808" spans="1:14" x14ac:dyDescent="0.25">
      <c r="A808" s="11"/>
      <c r="N808" s="12"/>
    </row>
    <row r="809" spans="1:14" x14ac:dyDescent="0.25">
      <c r="A809" s="11" t="s">
        <v>69</v>
      </c>
      <c r="N809" s="12"/>
    </row>
    <row r="810" spans="1:14" x14ac:dyDescent="0.25">
      <c r="A810" s="11"/>
      <c r="N810" s="12"/>
    </row>
    <row r="811" spans="1:14" x14ac:dyDescent="0.25">
      <c r="A811" s="11"/>
      <c r="N811" s="12"/>
    </row>
    <row r="812" spans="1:14" x14ac:dyDescent="0.25">
      <c r="A812" s="11"/>
      <c r="N812" s="12"/>
    </row>
    <row r="813" spans="1:14" x14ac:dyDescent="0.25">
      <c r="A813" s="11"/>
      <c r="N813" s="12"/>
    </row>
    <row r="814" spans="1:14" x14ac:dyDescent="0.25">
      <c r="A814" s="11"/>
      <c r="N814" s="12"/>
    </row>
    <row r="815" spans="1:14" x14ac:dyDescent="0.25">
      <c r="A815" s="11" t="s">
        <v>71</v>
      </c>
      <c r="N815" s="12"/>
    </row>
    <row r="816" spans="1:14" x14ac:dyDescent="0.25">
      <c r="A816" s="11"/>
      <c r="N816" s="12"/>
    </row>
    <row r="817" spans="1:14" x14ac:dyDescent="0.25">
      <c r="A817" s="11"/>
      <c r="N817" s="12"/>
    </row>
    <row r="818" spans="1:14" x14ac:dyDescent="0.25">
      <c r="A818" s="11"/>
      <c r="N818" s="12"/>
    </row>
    <row r="819" spans="1:14" x14ac:dyDescent="0.25">
      <c r="A819" s="11"/>
      <c r="N819" s="12"/>
    </row>
    <row r="820" spans="1:14" x14ac:dyDescent="0.25">
      <c r="A820" s="11"/>
      <c r="N820" s="12"/>
    </row>
    <row r="821" spans="1:14" x14ac:dyDescent="0.25">
      <c r="A821" s="11"/>
      <c r="K821" s="10" t="s">
        <v>72</v>
      </c>
      <c r="N821" s="12"/>
    </row>
    <row r="822" spans="1:14" x14ac:dyDescent="0.25">
      <c r="A822" s="11"/>
      <c r="N822" s="12"/>
    </row>
    <row r="823" spans="1:14" x14ac:dyDescent="0.25">
      <c r="A823" s="11"/>
      <c r="N823" s="12"/>
    </row>
    <row r="824" spans="1:14" x14ac:dyDescent="0.25">
      <c r="A824"/>
      <c r="N824" s="12"/>
    </row>
    <row r="825" spans="1:14" x14ac:dyDescent="0.25">
      <c r="A825" s="11"/>
      <c r="N825" s="12"/>
    </row>
    <row r="826" spans="1:14" x14ac:dyDescent="0.25">
      <c r="A826" s="11"/>
      <c r="N826" s="12"/>
    </row>
    <row r="827" spans="1:14" x14ac:dyDescent="0.25">
      <c r="A827" s="11"/>
      <c r="N827" s="12"/>
    </row>
    <row r="828" spans="1:14" x14ac:dyDescent="0.25">
      <c r="A828" s="11"/>
      <c r="N828" s="12"/>
    </row>
    <row r="829" spans="1:14" ht="15.75" thickBot="1" x14ac:dyDescent="0.3">
      <c r="A829" s="15"/>
      <c r="B829" s="16"/>
      <c r="C829" s="16"/>
      <c r="D829" s="16"/>
      <c r="E829" s="16"/>
      <c r="F829" s="16"/>
      <c r="G829" s="16"/>
      <c r="H829" s="16"/>
      <c r="I829" s="16"/>
      <c r="J829" s="16"/>
      <c r="K829" s="16"/>
      <c r="L829" s="16"/>
      <c r="M829" s="16"/>
      <c r="N829" s="17"/>
    </row>
    <row r="830" spans="1:14" ht="25.5" thickBot="1" x14ac:dyDescent="0.45">
      <c r="A830" s="171" t="s">
        <v>188</v>
      </c>
      <c r="B830" s="172"/>
      <c r="C830" s="172"/>
      <c r="D830" s="172"/>
      <c r="E830" s="172"/>
      <c r="F830" s="172"/>
      <c r="G830" s="172"/>
      <c r="H830" s="172"/>
      <c r="I830" s="172"/>
      <c r="J830" s="172"/>
      <c r="K830" s="172"/>
      <c r="L830" s="172"/>
      <c r="M830" s="172"/>
      <c r="N830" s="173"/>
    </row>
    <row r="831" spans="1:14" x14ac:dyDescent="0.25">
      <c r="A831" s="25"/>
      <c r="B831" s="26"/>
      <c r="C831" s="26"/>
      <c r="D831" s="26"/>
      <c r="E831" s="26"/>
      <c r="F831" s="26"/>
      <c r="G831" s="26"/>
      <c r="H831" s="26"/>
      <c r="I831" s="26"/>
      <c r="J831" s="26"/>
      <c r="K831" s="26"/>
      <c r="L831" s="26"/>
      <c r="M831" s="26"/>
      <c r="N831" s="27"/>
    </row>
    <row r="832" spans="1:14" ht="15.75" x14ac:dyDescent="0.25">
      <c r="A832" s="13" t="s">
        <v>43</v>
      </c>
      <c r="E832" s="14" t="s">
        <v>47</v>
      </c>
      <c r="N832" s="12"/>
    </row>
    <row r="833" spans="1:14" x14ac:dyDescent="0.25">
      <c r="A833" s="11"/>
      <c r="F833" s="19" t="b">
        <v>0</v>
      </c>
      <c r="G833" s="18" t="s">
        <v>49</v>
      </c>
      <c r="H833" s="19" t="b">
        <v>0</v>
      </c>
      <c r="I833" s="10" t="s">
        <v>48</v>
      </c>
      <c r="K833" s="10" t="s">
        <v>68</v>
      </c>
      <c r="N833" s="12"/>
    </row>
    <row r="834" spans="1:14" x14ac:dyDescent="0.25">
      <c r="A834" s="11"/>
      <c r="N834" s="12"/>
    </row>
    <row r="835" spans="1:14" x14ac:dyDescent="0.25">
      <c r="A835" s="11"/>
      <c r="N835" s="12"/>
    </row>
    <row r="836" spans="1:14" ht="15.75" x14ac:dyDescent="0.25">
      <c r="A836" s="13" t="s">
        <v>44</v>
      </c>
      <c r="G836" s="20" t="s">
        <v>50</v>
      </c>
      <c r="N836" s="12"/>
    </row>
    <row r="837" spans="1:14" ht="15.75" x14ac:dyDescent="0.25">
      <c r="A837" s="13"/>
      <c r="N837" s="12"/>
    </row>
    <row r="838" spans="1:14" x14ac:dyDescent="0.25">
      <c r="A838" s="11"/>
      <c r="N838" s="12"/>
    </row>
    <row r="839" spans="1:14" x14ac:dyDescent="0.25">
      <c r="A839" s="11"/>
      <c r="N839" s="12"/>
    </row>
    <row r="840" spans="1:14" x14ac:dyDescent="0.25">
      <c r="A840" s="11"/>
      <c r="F840" s="10" t="s">
        <v>51</v>
      </c>
      <c r="N840" s="12"/>
    </row>
    <row r="841" spans="1:14" x14ac:dyDescent="0.25">
      <c r="A841" s="11"/>
      <c r="N841" s="12"/>
    </row>
    <row r="842" spans="1:14" ht="15.75" x14ac:dyDescent="0.25">
      <c r="A842" s="13" t="s">
        <v>45</v>
      </c>
      <c r="N842" s="12"/>
    </row>
    <row r="843" spans="1:14" x14ac:dyDescent="0.25">
      <c r="A843" s="11"/>
      <c r="N843" s="12"/>
    </row>
    <row r="844" spans="1:14" x14ac:dyDescent="0.25">
      <c r="A844" s="11"/>
      <c r="N844" s="12"/>
    </row>
    <row r="845" spans="1:14" x14ac:dyDescent="0.25">
      <c r="A845" s="11"/>
      <c r="N845" s="12"/>
    </row>
    <row r="846" spans="1:14" x14ac:dyDescent="0.25">
      <c r="A846" s="11"/>
      <c r="F846" s="10" t="s">
        <v>52</v>
      </c>
      <c r="N846" s="12"/>
    </row>
    <row r="847" spans="1:14" x14ac:dyDescent="0.25">
      <c r="A847" s="11"/>
      <c r="N847" s="12"/>
    </row>
    <row r="848" spans="1:14" ht="15.75" x14ac:dyDescent="0.25">
      <c r="A848" s="13" t="s">
        <v>46</v>
      </c>
      <c r="N848" s="12"/>
    </row>
    <row r="849" spans="1:14" x14ac:dyDescent="0.25">
      <c r="A849" s="11"/>
      <c r="N849" s="12"/>
    </row>
    <row r="850" spans="1:14" x14ac:dyDescent="0.25">
      <c r="A850" s="11"/>
      <c r="F850" s="10" t="s">
        <v>79</v>
      </c>
      <c r="N850" s="12"/>
    </row>
    <row r="851" spans="1:14" x14ac:dyDescent="0.25">
      <c r="A851" s="11"/>
      <c r="N851" s="12"/>
    </row>
    <row r="852" spans="1:14" x14ac:dyDescent="0.25">
      <c r="A852" s="11"/>
      <c r="N852" s="12"/>
    </row>
    <row r="853" spans="1:14" x14ac:dyDescent="0.25">
      <c r="A853" s="11"/>
      <c r="F853" s="10" t="s">
        <v>70</v>
      </c>
      <c r="N853" s="12"/>
    </row>
    <row r="854" spans="1:14" x14ac:dyDescent="0.25">
      <c r="A854" s="11"/>
      <c r="N854" s="12"/>
    </row>
    <row r="855" spans="1:14" x14ac:dyDescent="0.25">
      <c r="A855" s="11"/>
      <c r="N855" s="12"/>
    </row>
    <row r="856" spans="1:14" x14ac:dyDescent="0.25">
      <c r="A856" s="11"/>
      <c r="N856" s="12"/>
    </row>
    <row r="857" spans="1:14" x14ac:dyDescent="0.25">
      <c r="A857" s="11"/>
      <c r="N857" s="12"/>
    </row>
    <row r="858" spans="1:14" x14ac:dyDescent="0.25">
      <c r="A858" s="11" t="s">
        <v>69</v>
      </c>
      <c r="N858" s="12"/>
    </row>
    <row r="859" spans="1:14" x14ac:dyDescent="0.25">
      <c r="A859" s="11"/>
      <c r="N859" s="12"/>
    </row>
    <row r="860" spans="1:14" x14ac:dyDescent="0.25">
      <c r="A860" s="11"/>
      <c r="N860" s="12"/>
    </row>
    <row r="861" spans="1:14" x14ac:dyDescent="0.25">
      <c r="A861" s="11"/>
      <c r="N861" s="12"/>
    </row>
    <row r="862" spans="1:14" x14ac:dyDescent="0.25">
      <c r="A862" s="11"/>
      <c r="N862" s="12"/>
    </row>
    <row r="863" spans="1:14" x14ac:dyDescent="0.25">
      <c r="A863" s="11"/>
      <c r="N863" s="12"/>
    </row>
    <row r="864" spans="1:14" x14ac:dyDescent="0.25">
      <c r="A864" s="11"/>
      <c r="N864" s="12"/>
    </row>
    <row r="865" spans="1:14" x14ac:dyDescent="0.25">
      <c r="A865" s="11"/>
      <c r="N865" s="12"/>
    </row>
    <row r="866" spans="1:14" x14ac:dyDescent="0.25">
      <c r="A866" s="11"/>
      <c r="N866" s="12"/>
    </row>
    <row r="867" spans="1:14" x14ac:dyDescent="0.25">
      <c r="A867" s="11"/>
      <c r="K867" s="10" t="s">
        <v>72</v>
      </c>
      <c r="N867" s="12"/>
    </row>
    <row r="868" spans="1:14" x14ac:dyDescent="0.25">
      <c r="A868" s="11" t="s">
        <v>71</v>
      </c>
      <c r="N868" s="12"/>
    </row>
    <row r="869" spans="1:14" x14ac:dyDescent="0.25">
      <c r="A869" s="11"/>
      <c r="N869" s="12"/>
    </row>
    <row r="870" spans="1:14" x14ac:dyDescent="0.25">
      <c r="A870" s="11"/>
      <c r="N870" s="12"/>
    </row>
    <row r="871" spans="1:14" x14ac:dyDescent="0.25">
      <c r="A871" s="11"/>
      <c r="N871" s="12"/>
    </row>
    <row r="872" spans="1:14" x14ac:dyDescent="0.25">
      <c r="A872" s="11"/>
      <c r="N872" s="12"/>
    </row>
    <row r="873" spans="1:14" ht="15.75" thickBot="1" x14ac:dyDescent="0.3">
      <c r="A873" s="15"/>
      <c r="B873" s="16"/>
      <c r="C873" s="16"/>
      <c r="D873" s="16"/>
      <c r="E873" s="16"/>
      <c r="F873" s="16"/>
      <c r="G873" s="16"/>
      <c r="H873" s="16"/>
      <c r="I873" s="16"/>
      <c r="J873" s="16"/>
      <c r="K873" s="16"/>
      <c r="L873" s="16"/>
      <c r="M873" s="16"/>
      <c r="N873" s="17"/>
    </row>
    <row r="874" spans="1:14" ht="25.5" thickBot="1" x14ac:dyDescent="0.45">
      <c r="A874" s="171" t="s">
        <v>189</v>
      </c>
      <c r="B874" s="172"/>
      <c r="C874" s="172"/>
      <c r="D874" s="172"/>
      <c r="E874" s="172"/>
      <c r="F874" s="172"/>
      <c r="G874" s="172"/>
      <c r="H874" s="172"/>
      <c r="I874" s="172"/>
      <c r="J874" s="172"/>
      <c r="K874" s="172"/>
      <c r="L874" s="172"/>
      <c r="M874" s="172"/>
      <c r="N874" s="173"/>
    </row>
    <row r="875" spans="1:14" x14ac:dyDescent="0.25">
      <c r="A875" s="25"/>
      <c r="B875" s="26"/>
      <c r="C875" s="26"/>
      <c r="D875" s="26"/>
      <c r="E875" s="26"/>
      <c r="F875" s="26"/>
      <c r="G875" s="26"/>
      <c r="H875" s="26"/>
      <c r="I875" s="26"/>
      <c r="J875" s="26"/>
      <c r="K875" s="26"/>
      <c r="L875" s="26"/>
      <c r="M875" s="26"/>
      <c r="N875" s="27"/>
    </row>
    <row r="876" spans="1:14" ht="15.75" x14ac:dyDescent="0.25">
      <c r="A876" s="13" t="s">
        <v>43</v>
      </c>
      <c r="E876" s="14" t="s">
        <v>47</v>
      </c>
      <c r="N876" s="12"/>
    </row>
    <row r="877" spans="1:14" x14ac:dyDescent="0.25">
      <c r="A877" s="11"/>
      <c r="F877" s="19" t="b">
        <v>0</v>
      </c>
      <c r="G877" s="18" t="s">
        <v>49</v>
      </c>
      <c r="H877" s="19" t="b">
        <v>0</v>
      </c>
      <c r="I877" s="10" t="s">
        <v>48</v>
      </c>
      <c r="K877" s="10" t="s">
        <v>68</v>
      </c>
      <c r="N877" s="12"/>
    </row>
    <row r="878" spans="1:14" x14ac:dyDescent="0.25">
      <c r="A878" s="11"/>
      <c r="N878" s="12"/>
    </row>
    <row r="879" spans="1:14" x14ac:dyDescent="0.25">
      <c r="A879" s="11"/>
      <c r="N879" s="12"/>
    </row>
    <row r="880" spans="1:14" ht="15.75" x14ac:dyDescent="0.25">
      <c r="A880" s="13" t="s">
        <v>44</v>
      </c>
      <c r="G880" s="20" t="s">
        <v>50</v>
      </c>
      <c r="N880" s="12"/>
    </row>
    <row r="881" spans="1:14" ht="15.75" x14ac:dyDescent="0.25">
      <c r="A881" s="13"/>
      <c r="N881" s="12"/>
    </row>
    <row r="882" spans="1:14" x14ac:dyDescent="0.25">
      <c r="A882" s="11"/>
      <c r="N882" s="12"/>
    </row>
    <row r="883" spans="1:14" x14ac:dyDescent="0.25">
      <c r="A883" s="11"/>
      <c r="N883" s="12"/>
    </row>
    <row r="884" spans="1:14" x14ac:dyDescent="0.25">
      <c r="A884" s="11"/>
      <c r="F884" s="10" t="s">
        <v>51</v>
      </c>
      <c r="N884" s="12"/>
    </row>
    <row r="885" spans="1:14" x14ac:dyDescent="0.25">
      <c r="A885" s="11"/>
      <c r="N885" s="12"/>
    </row>
    <row r="886" spans="1:14" ht="15.75" x14ac:dyDescent="0.25">
      <c r="A886" s="13" t="s">
        <v>45</v>
      </c>
      <c r="N886" s="12"/>
    </row>
    <row r="887" spans="1:14" x14ac:dyDescent="0.25">
      <c r="A887" s="11"/>
      <c r="N887" s="12"/>
    </row>
    <row r="888" spans="1:14" x14ac:dyDescent="0.25">
      <c r="A888" s="11"/>
      <c r="N888" s="12"/>
    </row>
    <row r="889" spans="1:14" x14ac:dyDescent="0.25">
      <c r="A889" s="11"/>
      <c r="N889" s="12"/>
    </row>
    <row r="890" spans="1:14" x14ac:dyDescent="0.25">
      <c r="A890" s="11"/>
      <c r="F890" s="10" t="s">
        <v>52</v>
      </c>
      <c r="N890" s="12"/>
    </row>
    <row r="891" spans="1:14" x14ac:dyDescent="0.25">
      <c r="A891" s="11"/>
      <c r="N891" s="12"/>
    </row>
    <row r="892" spans="1:14" ht="15.75" x14ac:dyDescent="0.25">
      <c r="A892" s="13" t="s">
        <v>46</v>
      </c>
      <c r="N892" s="12"/>
    </row>
    <row r="893" spans="1:14" x14ac:dyDescent="0.25">
      <c r="A893" s="11"/>
      <c r="N893" s="12"/>
    </row>
    <row r="894" spans="1:14" x14ac:dyDescent="0.25">
      <c r="A894" s="11"/>
      <c r="F894" s="10" t="s">
        <v>79</v>
      </c>
      <c r="N894" s="12"/>
    </row>
    <row r="895" spans="1:14" x14ac:dyDescent="0.25">
      <c r="A895" s="11"/>
      <c r="N895" s="12"/>
    </row>
    <row r="896" spans="1:14" x14ac:dyDescent="0.25">
      <c r="A896" s="11"/>
      <c r="N896" s="12"/>
    </row>
    <row r="897" spans="1:14" x14ac:dyDescent="0.25">
      <c r="A897" s="11"/>
      <c r="F897" s="10" t="s">
        <v>70</v>
      </c>
      <c r="N897" s="12"/>
    </row>
    <row r="898" spans="1:14" x14ac:dyDescent="0.25">
      <c r="A898" s="11"/>
      <c r="N898" s="12"/>
    </row>
    <row r="899" spans="1:14" x14ac:dyDescent="0.25">
      <c r="A899" s="11"/>
      <c r="N899" s="12"/>
    </row>
    <row r="900" spans="1:14" x14ac:dyDescent="0.25">
      <c r="A900" s="11"/>
      <c r="N900" s="12"/>
    </row>
    <row r="901" spans="1:14" x14ac:dyDescent="0.25">
      <c r="A901" s="11"/>
      <c r="N901" s="12"/>
    </row>
    <row r="902" spans="1:14" x14ac:dyDescent="0.25">
      <c r="A902" s="11" t="s">
        <v>69</v>
      </c>
      <c r="N902" s="12"/>
    </row>
    <row r="903" spans="1:14" x14ac:dyDescent="0.25">
      <c r="A903" s="11"/>
      <c r="N903" s="12"/>
    </row>
    <row r="904" spans="1:14" x14ac:dyDescent="0.25">
      <c r="A904" s="11"/>
      <c r="N904" s="12"/>
    </row>
    <row r="905" spans="1:14" x14ac:dyDescent="0.25">
      <c r="A905" s="11"/>
      <c r="N905" s="12"/>
    </row>
    <row r="906" spans="1:14" x14ac:dyDescent="0.25">
      <c r="A906" s="11"/>
      <c r="N906" s="12"/>
    </row>
    <row r="907" spans="1:14" x14ac:dyDescent="0.25">
      <c r="A907" s="11"/>
      <c r="N907" s="12"/>
    </row>
    <row r="908" spans="1:14" x14ac:dyDescent="0.25">
      <c r="A908" s="11"/>
      <c r="N908" s="12"/>
    </row>
    <row r="909" spans="1:14" x14ac:dyDescent="0.25">
      <c r="A909" s="11"/>
      <c r="N909" s="12"/>
    </row>
    <row r="910" spans="1:14" x14ac:dyDescent="0.25">
      <c r="A910" s="11"/>
      <c r="N910" s="12"/>
    </row>
    <row r="911" spans="1:14" x14ac:dyDescent="0.25">
      <c r="A911" s="11"/>
      <c r="K911" s="10" t="s">
        <v>72</v>
      </c>
      <c r="N911" s="12"/>
    </row>
    <row r="912" spans="1:14" x14ac:dyDescent="0.25">
      <c r="A912" s="11" t="s">
        <v>71</v>
      </c>
      <c r="N912" s="12"/>
    </row>
    <row r="913" spans="1:14" x14ac:dyDescent="0.25">
      <c r="A913" s="11"/>
      <c r="N913" s="12"/>
    </row>
    <row r="914" spans="1:14" x14ac:dyDescent="0.25">
      <c r="A914" s="11"/>
      <c r="N914" s="12"/>
    </row>
    <row r="915" spans="1:14" x14ac:dyDescent="0.25">
      <c r="A915" s="11"/>
      <c r="N915" s="12"/>
    </row>
    <row r="916" spans="1:14" x14ac:dyDescent="0.25">
      <c r="A916" s="11"/>
      <c r="N916" s="12"/>
    </row>
    <row r="917" spans="1:14" x14ac:dyDescent="0.25">
      <c r="A917" s="11"/>
      <c r="N917" s="12"/>
    </row>
    <row r="918" spans="1:14" x14ac:dyDescent="0.25">
      <c r="A918" s="11"/>
      <c r="N918" s="12"/>
    </row>
    <row r="919" spans="1:14" x14ac:dyDescent="0.25">
      <c r="A919" s="11"/>
      <c r="N919" s="12"/>
    </row>
    <row r="920" spans="1:14" x14ac:dyDescent="0.25">
      <c r="A920" s="11"/>
      <c r="N920" s="12"/>
    </row>
    <row r="921" spans="1:14" x14ac:dyDescent="0.25">
      <c r="A921" s="11"/>
      <c r="N921" s="12"/>
    </row>
    <row r="922" spans="1:14" ht="15.75" thickBot="1" x14ac:dyDescent="0.3">
      <c r="A922" s="15"/>
      <c r="B922" s="16"/>
      <c r="C922" s="16"/>
      <c r="D922" s="16"/>
      <c r="E922" s="16"/>
      <c r="F922" s="16"/>
      <c r="G922" s="16"/>
      <c r="H922" s="16"/>
      <c r="I922" s="16"/>
      <c r="J922" s="16"/>
      <c r="K922" s="16"/>
      <c r="L922" s="16"/>
      <c r="M922" s="16"/>
      <c r="N922" s="17"/>
    </row>
    <row r="923" spans="1:14" ht="25.5" thickBot="1" x14ac:dyDescent="0.45">
      <c r="A923" s="174" t="s">
        <v>192</v>
      </c>
      <c r="B923" s="172"/>
      <c r="C923" s="172"/>
      <c r="D923" s="172"/>
      <c r="E923" s="172"/>
      <c r="F923" s="172"/>
      <c r="G923" s="172"/>
      <c r="H923" s="172"/>
      <c r="I923" s="172"/>
      <c r="J923" s="172"/>
      <c r="K923" s="172"/>
      <c r="L923" s="172"/>
      <c r="M923" s="172"/>
      <c r="N923" s="173"/>
    </row>
    <row r="924" spans="1:14" x14ac:dyDescent="0.25">
      <c r="A924" s="25"/>
      <c r="B924" s="26"/>
      <c r="C924" s="26"/>
      <c r="D924" s="26"/>
      <c r="E924" s="26"/>
      <c r="F924" s="26"/>
      <c r="G924" s="26"/>
      <c r="H924" s="26"/>
      <c r="I924" s="26"/>
      <c r="J924" s="26"/>
      <c r="K924" s="26"/>
      <c r="L924" s="26"/>
      <c r="M924" s="26"/>
      <c r="N924" s="27"/>
    </row>
    <row r="925" spans="1:14" ht="15.75" x14ac:dyDescent="0.25">
      <c r="A925" s="13" t="s">
        <v>43</v>
      </c>
      <c r="E925" s="14" t="s">
        <v>47</v>
      </c>
      <c r="N925" s="12"/>
    </row>
    <row r="926" spans="1:14" x14ac:dyDescent="0.25">
      <c r="A926" s="11"/>
      <c r="F926" s="19" t="b">
        <v>0</v>
      </c>
      <c r="G926" s="18" t="s">
        <v>49</v>
      </c>
      <c r="H926" s="19" t="b">
        <v>0</v>
      </c>
      <c r="I926" s="10" t="s">
        <v>48</v>
      </c>
      <c r="K926" s="10" t="s">
        <v>68</v>
      </c>
      <c r="N926" s="12"/>
    </row>
    <row r="927" spans="1:14" x14ac:dyDescent="0.25">
      <c r="A927" s="11"/>
      <c r="N927" s="12"/>
    </row>
    <row r="928" spans="1:14" x14ac:dyDescent="0.25">
      <c r="A928" s="11"/>
      <c r="N928" s="12"/>
    </row>
    <row r="929" spans="1:14" ht="15.75" x14ac:dyDescent="0.25">
      <c r="A929" s="13" t="s">
        <v>44</v>
      </c>
      <c r="G929" s="20" t="s">
        <v>50</v>
      </c>
      <c r="N929" s="12"/>
    </row>
    <row r="930" spans="1:14" ht="15.75" x14ac:dyDescent="0.25">
      <c r="A930" s="13"/>
      <c r="N930" s="12"/>
    </row>
    <row r="931" spans="1:14" x14ac:dyDescent="0.25">
      <c r="A931" s="11"/>
      <c r="N931" s="12"/>
    </row>
    <row r="932" spans="1:14" x14ac:dyDescent="0.25">
      <c r="A932" s="11"/>
      <c r="N932" s="12"/>
    </row>
    <row r="933" spans="1:14" x14ac:dyDescent="0.25">
      <c r="A933" s="11"/>
      <c r="F933" s="10" t="s">
        <v>51</v>
      </c>
      <c r="N933" s="12"/>
    </row>
    <row r="934" spans="1:14" x14ac:dyDescent="0.25">
      <c r="A934" s="11"/>
      <c r="N934" s="12"/>
    </row>
    <row r="935" spans="1:14" ht="15.75" x14ac:dyDescent="0.25">
      <c r="A935" s="13" t="s">
        <v>45</v>
      </c>
      <c r="N935" s="12"/>
    </row>
    <row r="936" spans="1:14" x14ac:dyDescent="0.25">
      <c r="A936" s="11"/>
      <c r="N936" s="12"/>
    </row>
    <row r="937" spans="1:14" x14ac:dyDescent="0.25">
      <c r="A937" s="11"/>
      <c r="N937" s="12"/>
    </row>
    <row r="938" spans="1:14" x14ac:dyDescent="0.25">
      <c r="A938" s="11"/>
      <c r="N938" s="12"/>
    </row>
    <row r="939" spans="1:14" x14ac:dyDescent="0.25">
      <c r="A939" s="11"/>
      <c r="F939" s="10" t="s">
        <v>52</v>
      </c>
      <c r="N939" s="12"/>
    </row>
    <row r="940" spans="1:14" x14ac:dyDescent="0.25">
      <c r="A940" s="11"/>
      <c r="N940" s="12"/>
    </row>
    <row r="941" spans="1:14" ht="15.75" x14ac:dyDescent="0.25">
      <c r="A941" s="13" t="s">
        <v>46</v>
      </c>
      <c r="N941" s="12"/>
    </row>
    <row r="942" spans="1:14" x14ac:dyDescent="0.25">
      <c r="A942" s="11"/>
      <c r="N942" s="12"/>
    </row>
    <row r="943" spans="1:14" x14ac:dyDescent="0.25">
      <c r="A943" s="11"/>
      <c r="F943" s="10" t="s">
        <v>79</v>
      </c>
      <c r="N943" s="12"/>
    </row>
    <row r="944" spans="1:14" x14ac:dyDescent="0.25">
      <c r="A944" s="11"/>
      <c r="N944" s="12"/>
    </row>
    <row r="945" spans="1:14" x14ac:dyDescent="0.25">
      <c r="A945" s="11"/>
      <c r="N945" s="12"/>
    </row>
    <row r="946" spans="1:14" x14ac:dyDescent="0.25">
      <c r="A946" s="11"/>
      <c r="F946" s="10" t="s">
        <v>70</v>
      </c>
      <c r="K946"/>
      <c r="N946" s="12"/>
    </row>
    <row r="947" spans="1:14" x14ac:dyDescent="0.25">
      <c r="A947" s="11"/>
      <c r="J947"/>
      <c r="N947" s="12"/>
    </row>
    <row r="948" spans="1:14" x14ac:dyDescent="0.25">
      <c r="A948" s="11"/>
      <c r="N948" s="12"/>
    </row>
    <row r="949" spans="1:14" x14ac:dyDescent="0.25">
      <c r="A949" s="11"/>
      <c r="N949" s="12"/>
    </row>
    <row r="950" spans="1:14" x14ac:dyDescent="0.25">
      <c r="A950" s="11"/>
      <c r="N950" s="12"/>
    </row>
    <row r="951" spans="1:14" x14ac:dyDescent="0.25">
      <c r="A951" s="11" t="s">
        <v>69</v>
      </c>
      <c r="N951" s="12"/>
    </row>
    <row r="952" spans="1:14" x14ac:dyDescent="0.25">
      <c r="A952" s="11"/>
      <c r="J952" s="10" t="s">
        <v>72</v>
      </c>
      <c r="N952" s="12"/>
    </row>
    <row r="953" spans="1:14" x14ac:dyDescent="0.25">
      <c r="A953" s="11"/>
      <c r="N953" s="12"/>
    </row>
    <row r="954" spans="1:14" x14ac:dyDescent="0.25">
      <c r="A954" s="11"/>
      <c r="N954" s="12"/>
    </row>
    <row r="955" spans="1:14" x14ac:dyDescent="0.25">
      <c r="A955" s="11"/>
      <c r="N955" s="12"/>
    </row>
    <row r="956" spans="1:14" x14ac:dyDescent="0.25">
      <c r="A956" s="11"/>
      <c r="J956" s="10" t="s">
        <v>71</v>
      </c>
      <c r="N956" s="12"/>
    </row>
    <row r="957" spans="1:14" x14ac:dyDescent="0.25">
      <c r="A957" s="11"/>
      <c r="N957" s="12"/>
    </row>
    <row r="958" spans="1:14" x14ac:dyDescent="0.25">
      <c r="A958" s="11"/>
      <c r="N958" s="12"/>
    </row>
    <row r="959" spans="1:14" x14ac:dyDescent="0.25">
      <c r="A959" s="11"/>
      <c r="N959" s="12"/>
    </row>
    <row r="960" spans="1:14" x14ac:dyDescent="0.25">
      <c r="A960" s="11"/>
      <c r="N960" s="12"/>
    </row>
    <row r="961" spans="1:14" x14ac:dyDescent="0.25">
      <c r="A961" s="11"/>
      <c r="N961" s="12"/>
    </row>
    <row r="962" spans="1:14" x14ac:dyDescent="0.25">
      <c r="A962" s="11"/>
      <c r="N962" s="12"/>
    </row>
    <row r="963" spans="1:14" x14ac:dyDescent="0.25">
      <c r="A963" s="11"/>
      <c r="N963" s="12"/>
    </row>
    <row r="964" spans="1:14" x14ac:dyDescent="0.25">
      <c r="A964" s="11"/>
      <c r="N964" s="12"/>
    </row>
    <row r="965" spans="1:14" x14ac:dyDescent="0.25">
      <c r="A965" s="11"/>
      <c r="N965" s="12"/>
    </row>
    <row r="966" spans="1:14" x14ac:dyDescent="0.25">
      <c r="A966" s="11"/>
      <c r="N966" s="12"/>
    </row>
    <row r="967" spans="1:14" x14ac:dyDescent="0.25">
      <c r="A967" s="11"/>
      <c r="N967" s="12"/>
    </row>
    <row r="968" spans="1:14" ht="15.75" thickBot="1" x14ac:dyDescent="0.3">
      <c r="A968" s="15"/>
      <c r="B968" s="16"/>
      <c r="C968" s="16"/>
      <c r="D968" s="16"/>
      <c r="E968" s="16"/>
      <c r="F968" s="16"/>
      <c r="G968" s="16"/>
      <c r="H968" s="16"/>
      <c r="I968" s="16"/>
      <c r="J968" s="16"/>
      <c r="K968" s="16"/>
      <c r="L968" s="16"/>
      <c r="M968" s="16"/>
      <c r="N968" s="17"/>
    </row>
    <row r="969" spans="1:14" ht="25.5" thickBot="1" x14ac:dyDescent="0.45">
      <c r="A969" s="174" t="s">
        <v>249</v>
      </c>
      <c r="B969" s="172"/>
      <c r="C969" s="172"/>
      <c r="D969" s="172"/>
      <c r="E969" s="172"/>
      <c r="F969" s="172"/>
      <c r="G969" s="172"/>
      <c r="H969" s="172"/>
      <c r="I969" s="172"/>
      <c r="J969" s="172"/>
      <c r="K969" s="172"/>
      <c r="L969" s="172"/>
      <c r="M969" s="172"/>
      <c r="N969" s="173"/>
    </row>
    <row r="970" spans="1:14" x14ac:dyDescent="0.25">
      <c r="A970" s="25"/>
      <c r="B970" s="26"/>
      <c r="C970" s="26"/>
      <c r="D970" s="26"/>
      <c r="E970" s="26"/>
      <c r="F970" s="26"/>
      <c r="G970" s="26"/>
      <c r="H970" s="26"/>
      <c r="I970" s="26"/>
      <c r="J970" s="26"/>
      <c r="K970" s="26"/>
      <c r="L970" s="26"/>
      <c r="M970" s="26"/>
      <c r="N970" s="27"/>
    </row>
    <row r="971" spans="1:14" ht="15.75" x14ac:dyDescent="0.25">
      <c r="A971" s="13" t="s">
        <v>43</v>
      </c>
      <c r="E971" s="14" t="s">
        <v>47</v>
      </c>
      <c r="N971" s="12"/>
    </row>
    <row r="972" spans="1:14" x14ac:dyDescent="0.25">
      <c r="A972" s="11"/>
      <c r="F972" s="19" t="b">
        <v>0</v>
      </c>
      <c r="G972" s="18" t="s">
        <v>49</v>
      </c>
      <c r="H972" s="19" t="b">
        <v>0</v>
      </c>
      <c r="I972" s="10" t="s">
        <v>48</v>
      </c>
      <c r="K972" s="10" t="s">
        <v>68</v>
      </c>
      <c r="N972" s="12"/>
    </row>
    <row r="973" spans="1:14" x14ac:dyDescent="0.25">
      <c r="A973" s="11"/>
      <c r="N973" s="12"/>
    </row>
    <row r="974" spans="1:14" x14ac:dyDescent="0.25">
      <c r="A974" s="11"/>
      <c r="N974" s="12"/>
    </row>
    <row r="975" spans="1:14" ht="15.75" x14ac:dyDescent="0.25">
      <c r="A975" s="13" t="s">
        <v>44</v>
      </c>
      <c r="G975" s="20" t="s">
        <v>50</v>
      </c>
      <c r="N975" s="12"/>
    </row>
    <row r="976" spans="1:14" ht="15.75" x14ac:dyDescent="0.25">
      <c r="A976" s="13"/>
      <c r="N976" s="12"/>
    </row>
    <row r="977" spans="1:14" x14ac:dyDescent="0.25">
      <c r="A977" s="11"/>
      <c r="N977" s="12"/>
    </row>
    <row r="978" spans="1:14" x14ac:dyDescent="0.25">
      <c r="A978" s="11"/>
      <c r="N978" s="12"/>
    </row>
    <row r="979" spans="1:14" x14ac:dyDescent="0.25">
      <c r="A979" s="11"/>
      <c r="F979" s="10" t="s">
        <v>51</v>
      </c>
      <c r="N979" s="12"/>
    </row>
    <row r="980" spans="1:14" x14ac:dyDescent="0.25">
      <c r="A980" s="11"/>
      <c r="N980" s="12"/>
    </row>
    <row r="981" spans="1:14" ht="15.75" x14ac:dyDescent="0.25">
      <c r="A981" s="13" t="s">
        <v>45</v>
      </c>
      <c r="N981" s="12"/>
    </row>
    <row r="982" spans="1:14" x14ac:dyDescent="0.25">
      <c r="A982" s="11"/>
      <c r="N982" s="12"/>
    </row>
    <row r="983" spans="1:14" x14ac:dyDescent="0.25">
      <c r="A983" s="11"/>
      <c r="N983" s="12"/>
    </row>
    <row r="984" spans="1:14" x14ac:dyDescent="0.25">
      <c r="A984" s="11"/>
      <c r="N984" s="12"/>
    </row>
    <row r="985" spans="1:14" x14ac:dyDescent="0.25">
      <c r="A985" s="11"/>
      <c r="F985" s="10" t="s">
        <v>52</v>
      </c>
      <c r="N985" s="12"/>
    </row>
    <row r="986" spans="1:14" x14ac:dyDescent="0.25">
      <c r="A986" s="11"/>
      <c r="N986" s="12"/>
    </row>
    <row r="987" spans="1:14" ht="15.75" x14ac:dyDescent="0.25">
      <c r="A987" s="13" t="s">
        <v>46</v>
      </c>
      <c r="N987" s="12"/>
    </row>
    <row r="988" spans="1:14" x14ac:dyDescent="0.25">
      <c r="A988" s="11"/>
      <c r="N988" s="12"/>
    </row>
    <row r="989" spans="1:14" x14ac:dyDescent="0.25">
      <c r="A989" s="11"/>
      <c r="F989" s="10" t="s">
        <v>79</v>
      </c>
      <c r="N989" s="12"/>
    </row>
    <row r="990" spans="1:14" x14ac:dyDescent="0.25">
      <c r="A990" s="11"/>
      <c r="N990" s="12"/>
    </row>
    <row r="991" spans="1:14" x14ac:dyDescent="0.25">
      <c r="A991" s="11"/>
      <c r="N991" s="12"/>
    </row>
    <row r="992" spans="1:14" x14ac:dyDescent="0.25">
      <c r="A992" s="11"/>
      <c r="F992" s="10" t="s">
        <v>70</v>
      </c>
      <c r="K992"/>
      <c r="N992" s="12"/>
    </row>
    <row r="993" spans="1:14" x14ac:dyDescent="0.25">
      <c r="A993" s="11"/>
      <c r="J993"/>
      <c r="N993" s="12"/>
    </row>
    <row r="994" spans="1:14" x14ac:dyDescent="0.25">
      <c r="A994" s="11"/>
      <c r="N994" s="12"/>
    </row>
    <row r="995" spans="1:14" x14ac:dyDescent="0.25">
      <c r="A995" s="11"/>
      <c r="N995" s="12"/>
    </row>
    <row r="996" spans="1:14" x14ac:dyDescent="0.25">
      <c r="A996" s="11"/>
      <c r="N996" s="12"/>
    </row>
    <row r="997" spans="1:14" x14ac:dyDescent="0.25">
      <c r="A997" s="11" t="s">
        <v>69</v>
      </c>
      <c r="N997" s="12"/>
    </row>
    <row r="998" spans="1:14" x14ac:dyDescent="0.25">
      <c r="A998" s="11"/>
      <c r="J998" s="10" t="s">
        <v>72</v>
      </c>
      <c r="N998" s="12"/>
    </row>
    <row r="999" spans="1:14" x14ac:dyDescent="0.25">
      <c r="A999" s="11"/>
      <c r="N999" s="12"/>
    </row>
    <row r="1000" spans="1:14" x14ac:dyDescent="0.25">
      <c r="A1000" s="11"/>
      <c r="N1000" s="12"/>
    </row>
    <row r="1001" spans="1:14" x14ac:dyDescent="0.25">
      <c r="A1001" s="11"/>
      <c r="N1001" s="12"/>
    </row>
    <row r="1002" spans="1:14" x14ac:dyDescent="0.25">
      <c r="A1002" s="11"/>
      <c r="J1002" s="10" t="s">
        <v>71</v>
      </c>
      <c r="N1002" s="12"/>
    </row>
    <row r="1003" spans="1:14" x14ac:dyDescent="0.25">
      <c r="A1003" s="11"/>
      <c r="N1003" s="12"/>
    </row>
    <row r="1004" spans="1:14" x14ac:dyDescent="0.25">
      <c r="A1004" s="11"/>
      <c r="N1004" s="12"/>
    </row>
    <row r="1005" spans="1:14" x14ac:dyDescent="0.25">
      <c r="A1005" s="11"/>
      <c r="N1005" s="12"/>
    </row>
    <row r="1006" spans="1:14" x14ac:dyDescent="0.25">
      <c r="A1006" s="11"/>
      <c r="N1006" s="12"/>
    </row>
    <row r="1007" spans="1:14" x14ac:dyDescent="0.25">
      <c r="A1007" s="11"/>
      <c r="N1007" s="12"/>
    </row>
    <row r="1008" spans="1:14" x14ac:dyDescent="0.25">
      <c r="A1008" s="11"/>
      <c r="N1008" s="12"/>
    </row>
    <row r="1009" spans="1:14" x14ac:dyDescent="0.25">
      <c r="A1009" s="11"/>
      <c r="N1009" s="12"/>
    </row>
    <row r="1010" spans="1:14" x14ac:dyDescent="0.25">
      <c r="A1010" s="11"/>
      <c r="N1010" s="12"/>
    </row>
    <row r="1011" spans="1:14" x14ac:dyDescent="0.25">
      <c r="A1011" s="11"/>
      <c r="N1011" s="12"/>
    </row>
    <row r="1012" spans="1:14" x14ac:dyDescent="0.25">
      <c r="A1012" s="11"/>
      <c r="N1012" s="12"/>
    </row>
    <row r="1013" spans="1:14" x14ac:dyDescent="0.25">
      <c r="A1013" s="11"/>
      <c r="N1013" s="12"/>
    </row>
    <row r="1014" spans="1:14" ht="15.75" thickBot="1" x14ac:dyDescent="0.3">
      <c r="A1014" s="15"/>
      <c r="B1014" s="16"/>
      <c r="C1014" s="16"/>
      <c r="D1014" s="16"/>
      <c r="E1014" s="16"/>
      <c r="F1014" s="16"/>
      <c r="G1014" s="16"/>
      <c r="H1014" s="16"/>
      <c r="I1014" s="16"/>
      <c r="J1014" s="16"/>
      <c r="K1014" s="16"/>
      <c r="L1014" s="16"/>
      <c r="M1014" s="16"/>
      <c r="N1014" s="17"/>
    </row>
  </sheetData>
  <mergeCells count="23">
    <mergeCell ref="A969:N969"/>
    <mergeCell ref="A518:N518"/>
    <mergeCell ref="A384:N384"/>
    <mergeCell ref="A428:N428"/>
    <mergeCell ref="A473:N473"/>
    <mergeCell ref="A163:N163"/>
    <mergeCell ref="A209:N209"/>
    <mergeCell ref="A254:N254"/>
    <mergeCell ref="A296:N296"/>
    <mergeCell ref="A2:N2"/>
    <mergeCell ref="A41:N41"/>
    <mergeCell ref="A80:N80"/>
    <mergeCell ref="A122:N122"/>
    <mergeCell ref="A340:N340"/>
    <mergeCell ref="A782:N782"/>
    <mergeCell ref="A830:N830"/>
    <mergeCell ref="A874:N874"/>
    <mergeCell ref="A923:N923"/>
    <mergeCell ref="A563:N563"/>
    <mergeCell ref="A605:N605"/>
    <mergeCell ref="A647:N647"/>
    <mergeCell ref="A690:N690"/>
    <mergeCell ref="A734:N734"/>
  </mergeCells>
  <conditionalFormatting sqref="A1:XFD1">
    <cfRule type="containsText" dxfId="81" priority="1" operator="containsText" text="REC: ">
      <formula>NOT(ISERROR(SEARCH("REC: ",A1)))</formula>
    </cfRule>
    <cfRule type="containsText" dxfId="80" priority="2" operator="containsText" text="MKT: ">
      <formula>NOT(ISERROR(SEARCH("MKT: ",A1)))</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F45A-2E31-4626-8280-85204502479C}">
  <sheetPr codeName="Sheet13"/>
  <dimension ref="A1:N326"/>
  <sheetViews>
    <sheetView workbookViewId="0">
      <pane ySplit="1" topLeftCell="A21" activePane="bottomLeft" state="frozen"/>
      <selection pane="bottomLeft" activeCell="A2" sqref="A2:L2"/>
    </sheetView>
  </sheetViews>
  <sheetFormatPr defaultRowHeight="15" x14ac:dyDescent="0.25"/>
  <cols>
    <col min="1" max="16384" width="9.140625" style="10"/>
  </cols>
  <sheetData>
    <row r="1" spans="1:12" s="71" customFormat="1" ht="27.75" customHeight="1" thickBot="1" x14ac:dyDescent="0.3"/>
    <row r="2" spans="1:12" ht="27" thickBot="1" x14ac:dyDescent="0.45">
      <c r="A2" s="165" t="s">
        <v>73</v>
      </c>
      <c r="B2" s="166"/>
      <c r="C2" s="166"/>
      <c r="D2" s="166"/>
      <c r="E2" s="166"/>
      <c r="F2" s="166"/>
      <c r="G2" s="166"/>
      <c r="H2" s="166"/>
      <c r="I2" s="166"/>
      <c r="J2" s="166"/>
      <c r="K2" s="166"/>
      <c r="L2" s="167"/>
    </row>
    <row r="3" spans="1:12" x14ac:dyDescent="0.25">
      <c r="A3" s="11"/>
      <c r="L3" s="12"/>
    </row>
    <row r="4" spans="1:12" ht="15.75" x14ac:dyDescent="0.25">
      <c r="A4" s="13" t="s">
        <v>43</v>
      </c>
      <c r="E4" s="14" t="s">
        <v>47</v>
      </c>
      <c r="L4" s="12"/>
    </row>
    <row r="5" spans="1:12" x14ac:dyDescent="0.25">
      <c r="A5" s="11"/>
      <c r="F5" s="19" t="b">
        <v>1</v>
      </c>
      <c r="G5" s="18" t="s">
        <v>49</v>
      </c>
      <c r="H5" s="19" t="b">
        <v>0</v>
      </c>
      <c r="I5" s="10" t="s">
        <v>48</v>
      </c>
      <c r="L5" s="12"/>
    </row>
    <row r="6" spans="1:12" x14ac:dyDescent="0.25">
      <c r="A6" s="11"/>
      <c r="L6" s="12"/>
    </row>
    <row r="7" spans="1:12" x14ac:dyDescent="0.25">
      <c r="A7" s="11"/>
      <c r="L7" s="12"/>
    </row>
    <row r="8" spans="1:12" ht="15.75" x14ac:dyDescent="0.25">
      <c r="A8" s="13" t="s">
        <v>44</v>
      </c>
      <c r="G8" s="20" t="s">
        <v>50</v>
      </c>
      <c r="L8" s="12"/>
    </row>
    <row r="9" spans="1:12" ht="15.75" x14ac:dyDescent="0.25">
      <c r="A9" s="13"/>
      <c r="L9" s="12"/>
    </row>
    <row r="10" spans="1:12" x14ac:dyDescent="0.25">
      <c r="A10" s="11"/>
      <c r="L10" s="12"/>
    </row>
    <row r="11" spans="1:12" x14ac:dyDescent="0.25">
      <c r="A11" s="11"/>
      <c r="L11" s="12"/>
    </row>
    <row r="12" spans="1:12" x14ac:dyDescent="0.25">
      <c r="A12" s="11"/>
      <c r="L12" s="12"/>
    </row>
    <row r="13" spans="1:12" x14ac:dyDescent="0.25">
      <c r="A13" s="11"/>
      <c r="G13" s="20"/>
      <c r="L13" s="12"/>
    </row>
    <row r="14" spans="1:12" ht="15.75" x14ac:dyDescent="0.25">
      <c r="A14" s="13" t="s">
        <v>45</v>
      </c>
      <c r="F14" s="10" t="s">
        <v>51</v>
      </c>
      <c r="L14" s="12"/>
    </row>
    <row r="15" spans="1:12" x14ac:dyDescent="0.25">
      <c r="A15" s="11"/>
      <c r="L15" s="12"/>
    </row>
    <row r="16" spans="1:12" x14ac:dyDescent="0.25">
      <c r="A16" s="11"/>
      <c r="L16" s="12"/>
    </row>
    <row r="17" spans="1:12" x14ac:dyDescent="0.25">
      <c r="A17" s="11"/>
      <c r="L17" s="12"/>
    </row>
    <row r="18" spans="1:12" x14ac:dyDescent="0.25">
      <c r="A18" s="11"/>
      <c r="L18" s="12"/>
    </row>
    <row r="19" spans="1:12" x14ac:dyDescent="0.25">
      <c r="A19" s="11"/>
      <c r="L19" s="12"/>
    </row>
    <row r="20" spans="1:12" ht="15.75" x14ac:dyDescent="0.25">
      <c r="A20" s="13" t="s">
        <v>46</v>
      </c>
      <c r="F20" s="10" t="s">
        <v>52</v>
      </c>
      <c r="L20" s="12"/>
    </row>
    <row r="21" spans="1:12" x14ac:dyDescent="0.25">
      <c r="A21" s="11"/>
      <c r="L21" s="12"/>
    </row>
    <row r="22" spans="1:12" x14ac:dyDescent="0.25">
      <c r="A22" s="11"/>
      <c r="L22" s="12"/>
    </row>
    <row r="23" spans="1:12" x14ac:dyDescent="0.25">
      <c r="A23" s="11"/>
      <c r="L23" s="12"/>
    </row>
    <row r="24" spans="1:12" x14ac:dyDescent="0.25">
      <c r="A24" s="11"/>
      <c r="F24" s="10" t="s">
        <v>63</v>
      </c>
      <c r="L24" s="12"/>
    </row>
    <row r="25" spans="1:12" x14ac:dyDescent="0.25">
      <c r="A25" s="11"/>
      <c r="L25" s="12"/>
    </row>
    <row r="26" spans="1:12" x14ac:dyDescent="0.25">
      <c r="A26" s="11"/>
      <c r="L26" s="12"/>
    </row>
    <row r="27" spans="1:12" x14ac:dyDescent="0.25">
      <c r="A27" s="11"/>
      <c r="L27" s="12"/>
    </row>
    <row r="28" spans="1:12" x14ac:dyDescent="0.25">
      <c r="A28" s="11"/>
      <c r="L28" s="12"/>
    </row>
    <row r="29" spans="1:12" x14ac:dyDescent="0.25">
      <c r="A29" s="11"/>
      <c r="L29" s="12"/>
    </row>
    <row r="30" spans="1:12" x14ac:dyDescent="0.25">
      <c r="A30" s="11"/>
      <c r="L30" s="12"/>
    </row>
    <row r="31" spans="1:12" x14ac:dyDescent="0.25">
      <c r="A31" s="11"/>
      <c r="L31" s="12"/>
    </row>
    <row r="32" spans="1:12" x14ac:dyDescent="0.25">
      <c r="A32" s="11"/>
      <c r="L32" s="12"/>
    </row>
    <row r="33" spans="1:12" x14ac:dyDescent="0.25">
      <c r="A33" s="11"/>
      <c r="L33" s="12"/>
    </row>
    <row r="34" spans="1:12" x14ac:dyDescent="0.25">
      <c r="A34" s="11"/>
      <c r="L34" s="12"/>
    </row>
    <row r="35" spans="1:12" x14ac:dyDescent="0.25">
      <c r="A35" s="11"/>
      <c r="L35" s="12"/>
    </row>
    <row r="36" spans="1:12" x14ac:dyDescent="0.25">
      <c r="A36" s="11"/>
      <c r="L36" s="12"/>
    </row>
    <row r="37" spans="1:12" x14ac:dyDescent="0.25">
      <c r="A37" s="11"/>
      <c r="L37" s="12"/>
    </row>
    <row r="38" spans="1:12" x14ac:dyDescent="0.25">
      <c r="A38" s="11"/>
      <c r="L38" s="12"/>
    </row>
    <row r="39" spans="1:12" x14ac:dyDescent="0.25">
      <c r="A39" s="11"/>
      <c r="L39" s="12"/>
    </row>
    <row r="40" spans="1:12" x14ac:dyDescent="0.25">
      <c r="A40" s="11"/>
      <c r="L40" s="12"/>
    </row>
    <row r="41" spans="1:12" x14ac:dyDescent="0.25">
      <c r="A41" s="11"/>
      <c r="L41" s="12"/>
    </row>
    <row r="42" spans="1:12" x14ac:dyDescent="0.25">
      <c r="A42" s="11"/>
      <c r="L42" s="12"/>
    </row>
    <row r="43" spans="1:12" x14ac:dyDescent="0.25">
      <c r="A43" s="11"/>
      <c r="L43" s="12"/>
    </row>
    <row r="44" spans="1:12" x14ac:dyDescent="0.25">
      <c r="A44" s="11"/>
      <c r="L44" s="12"/>
    </row>
    <row r="45" spans="1:12" x14ac:dyDescent="0.25">
      <c r="A45" s="11"/>
      <c r="L45" s="12"/>
    </row>
    <row r="46" spans="1:12" x14ac:dyDescent="0.25">
      <c r="A46" s="11"/>
      <c r="L46" s="12"/>
    </row>
    <row r="47" spans="1:12" ht="15.75" thickBot="1" x14ac:dyDescent="0.3">
      <c r="A47" s="15"/>
      <c r="B47" s="16"/>
      <c r="C47" s="16"/>
      <c r="D47" s="16"/>
      <c r="E47" s="16"/>
      <c r="F47" s="16"/>
      <c r="G47" s="16"/>
      <c r="H47" s="16"/>
      <c r="I47" s="16"/>
      <c r="J47" s="16"/>
      <c r="K47" s="16"/>
      <c r="L47" s="17"/>
    </row>
    <row r="48" spans="1:12" ht="27" thickBot="1" x14ac:dyDescent="0.3">
      <c r="A48" s="179" t="s">
        <v>62</v>
      </c>
      <c r="B48" s="180"/>
      <c r="C48" s="180"/>
      <c r="D48" s="180"/>
      <c r="E48" s="180"/>
      <c r="F48" s="180"/>
      <c r="G48" s="180"/>
      <c r="H48" s="180"/>
      <c r="I48" s="180"/>
      <c r="J48" s="180"/>
      <c r="K48" s="180"/>
      <c r="L48" s="181"/>
    </row>
    <row r="49" spans="1:12" x14ac:dyDescent="0.25">
      <c r="A49" s="25"/>
      <c r="B49" s="26"/>
      <c r="C49" s="26"/>
      <c r="D49" s="26"/>
      <c r="E49" s="26"/>
      <c r="F49" s="26"/>
      <c r="G49" s="26"/>
      <c r="H49" s="26"/>
      <c r="I49" s="26"/>
      <c r="J49" s="26"/>
      <c r="K49" s="26"/>
      <c r="L49" s="27"/>
    </row>
    <row r="50" spans="1:12" ht="15.75" x14ac:dyDescent="0.25">
      <c r="A50" s="13" t="s">
        <v>43</v>
      </c>
      <c r="E50" s="14" t="s">
        <v>47</v>
      </c>
      <c r="L50" s="12"/>
    </row>
    <row r="51" spans="1:12" x14ac:dyDescent="0.25">
      <c r="A51" s="11"/>
      <c r="F51" s="19" t="b">
        <v>0</v>
      </c>
      <c r="G51" s="18" t="s">
        <v>49</v>
      </c>
      <c r="H51" s="19" t="b">
        <v>1</v>
      </c>
      <c r="I51" s="10" t="s">
        <v>48</v>
      </c>
      <c r="L51" s="12"/>
    </row>
    <row r="52" spans="1:12" x14ac:dyDescent="0.25">
      <c r="A52" s="11"/>
      <c r="L52" s="12"/>
    </row>
    <row r="53" spans="1:12" x14ac:dyDescent="0.25">
      <c r="A53" s="11"/>
      <c r="L53" s="12"/>
    </row>
    <row r="54" spans="1:12" ht="15.75" x14ac:dyDescent="0.25">
      <c r="A54" s="13" t="s">
        <v>44</v>
      </c>
      <c r="G54" s="20" t="s">
        <v>50</v>
      </c>
      <c r="L54" s="12"/>
    </row>
    <row r="55" spans="1:12" ht="15.75" x14ac:dyDescent="0.25">
      <c r="A55" s="13"/>
      <c r="L55" s="12"/>
    </row>
    <row r="56" spans="1:12" x14ac:dyDescent="0.25">
      <c r="A56" s="11"/>
      <c r="L56" s="12"/>
    </row>
    <row r="57" spans="1:12" x14ac:dyDescent="0.25">
      <c r="A57" s="11"/>
      <c r="L57" s="12"/>
    </row>
    <row r="58" spans="1:12" x14ac:dyDescent="0.25">
      <c r="A58" s="11"/>
      <c r="L58" s="12"/>
    </row>
    <row r="59" spans="1:12" x14ac:dyDescent="0.25">
      <c r="A59" s="11"/>
      <c r="G59" s="20"/>
      <c r="L59" s="12"/>
    </row>
    <row r="60" spans="1:12" ht="15.75" x14ac:dyDescent="0.25">
      <c r="A60" s="13" t="s">
        <v>45</v>
      </c>
      <c r="F60" s="10" t="s">
        <v>51</v>
      </c>
      <c r="L60" s="12"/>
    </row>
    <row r="61" spans="1:12" x14ac:dyDescent="0.25">
      <c r="A61" s="11"/>
      <c r="L61" s="12"/>
    </row>
    <row r="62" spans="1:12" x14ac:dyDescent="0.25">
      <c r="A62" s="11"/>
      <c r="L62" s="12"/>
    </row>
    <row r="63" spans="1:12" x14ac:dyDescent="0.25">
      <c r="A63" s="11"/>
      <c r="L63" s="12"/>
    </row>
    <row r="64" spans="1:12" x14ac:dyDescent="0.25">
      <c r="A64" s="11"/>
      <c r="L64" s="12"/>
    </row>
    <row r="65" spans="1:14" x14ac:dyDescent="0.25">
      <c r="A65" s="11"/>
      <c r="L65" s="12"/>
    </row>
    <row r="66" spans="1:14" ht="15.75" x14ac:dyDescent="0.25">
      <c r="A66" s="13" t="s">
        <v>46</v>
      </c>
      <c r="F66" s="10" t="s">
        <v>52</v>
      </c>
      <c r="L66" s="12"/>
    </row>
    <row r="67" spans="1:14" x14ac:dyDescent="0.25">
      <c r="A67" s="11"/>
      <c r="L67" s="12"/>
    </row>
    <row r="68" spans="1:14" x14ac:dyDescent="0.25">
      <c r="A68" s="11"/>
      <c r="L68" s="12"/>
    </row>
    <row r="69" spans="1:14" x14ac:dyDescent="0.25">
      <c r="A69" s="11"/>
      <c r="L69" s="12"/>
    </row>
    <row r="70" spans="1:14" x14ac:dyDescent="0.25">
      <c r="A70" s="11"/>
      <c r="F70" s="10" t="s">
        <v>63</v>
      </c>
      <c r="L70" s="12"/>
    </row>
    <row r="71" spans="1:14" x14ac:dyDescent="0.25">
      <c r="A71" s="11"/>
      <c r="L71" s="12"/>
    </row>
    <row r="72" spans="1:14" x14ac:dyDescent="0.25">
      <c r="A72" s="11"/>
      <c r="L72" s="12"/>
    </row>
    <row r="73" spans="1:14" x14ac:dyDescent="0.25">
      <c r="A73" s="11"/>
      <c r="L73" s="12"/>
    </row>
    <row r="74" spans="1:14" x14ac:dyDescent="0.25">
      <c r="A74" s="11"/>
      <c r="L74" s="12"/>
    </row>
    <row r="75" spans="1:14" x14ac:dyDescent="0.25">
      <c r="A75" s="11"/>
      <c r="L75" s="12"/>
    </row>
    <row r="76" spans="1:14" x14ac:dyDescent="0.25">
      <c r="A76" s="11"/>
      <c r="L76" s="12"/>
    </row>
    <row r="77" spans="1:14" ht="15.75" thickBot="1" x14ac:dyDescent="0.3">
      <c r="A77" s="11"/>
      <c r="L77" s="12"/>
    </row>
    <row r="78" spans="1:14" ht="27" thickBot="1" x14ac:dyDescent="0.45">
      <c r="A78" s="165" t="s">
        <v>67</v>
      </c>
      <c r="B78" s="166"/>
      <c r="C78" s="166"/>
      <c r="D78" s="166"/>
      <c r="E78" s="166"/>
      <c r="F78" s="166"/>
      <c r="G78" s="166"/>
      <c r="H78" s="166"/>
      <c r="I78" s="166"/>
      <c r="J78" s="166"/>
      <c r="K78" s="166"/>
      <c r="L78" s="166"/>
      <c r="M78" s="166"/>
      <c r="N78" s="167"/>
    </row>
    <row r="79" spans="1:14" x14ac:dyDescent="0.25">
      <c r="A79" s="25"/>
      <c r="B79" s="26"/>
      <c r="C79" s="26"/>
      <c r="D79" s="26"/>
      <c r="E79" s="26"/>
      <c r="F79" s="26"/>
      <c r="G79" s="26"/>
      <c r="H79" s="26"/>
      <c r="I79" s="26"/>
      <c r="J79" s="26"/>
      <c r="K79" s="26"/>
      <c r="L79" s="26"/>
      <c r="M79" s="26"/>
      <c r="N79" s="27"/>
    </row>
    <row r="80" spans="1:14" ht="15.75" x14ac:dyDescent="0.25">
      <c r="A80" s="13" t="s">
        <v>43</v>
      </c>
      <c r="E80" s="14" t="s">
        <v>47</v>
      </c>
      <c r="N80" s="12"/>
    </row>
    <row r="81" spans="1:14" x14ac:dyDescent="0.25">
      <c r="A81" s="11"/>
      <c r="F81" s="19" t="b">
        <v>0</v>
      </c>
      <c r="G81" s="18" t="s">
        <v>49</v>
      </c>
      <c r="H81" s="19" t="b">
        <v>0</v>
      </c>
      <c r="I81" s="10" t="s">
        <v>48</v>
      </c>
      <c r="N81" s="12"/>
    </row>
    <row r="82" spans="1:14" x14ac:dyDescent="0.25">
      <c r="A82" s="11"/>
      <c r="N82" s="12"/>
    </row>
    <row r="83" spans="1:14" x14ac:dyDescent="0.25">
      <c r="A83" s="11"/>
      <c r="N83" s="12"/>
    </row>
    <row r="84" spans="1:14" ht="15.75" x14ac:dyDescent="0.25">
      <c r="A84" s="13" t="s">
        <v>44</v>
      </c>
      <c r="G84" s="20" t="s">
        <v>50</v>
      </c>
      <c r="K84" s="10" t="s">
        <v>68</v>
      </c>
      <c r="N84" s="12"/>
    </row>
    <row r="85" spans="1:14" ht="15.75" x14ac:dyDescent="0.25">
      <c r="A85" s="13"/>
      <c r="N85" s="12"/>
    </row>
    <row r="86" spans="1:14" x14ac:dyDescent="0.25">
      <c r="A86" s="11"/>
      <c r="N86" s="12"/>
    </row>
    <row r="87" spans="1:14" x14ac:dyDescent="0.25">
      <c r="A87" s="11"/>
      <c r="N87" s="12"/>
    </row>
    <row r="88" spans="1:14" x14ac:dyDescent="0.25">
      <c r="A88" s="11"/>
      <c r="N88" s="12"/>
    </row>
    <row r="89" spans="1:14" x14ac:dyDescent="0.25">
      <c r="A89" s="11"/>
      <c r="G89" s="20"/>
      <c r="N89" s="12"/>
    </row>
    <row r="90" spans="1:14" ht="15.75" x14ac:dyDescent="0.25">
      <c r="A90" s="13" t="s">
        <v>45</v>
      </c>
      <c r="F90" s="10" t="s">
        <v>51</v>
      </c>
      <c r="N90" s="12"/>
    </row>
    <row r="91" spans="1:14" x14ac:dyDescent="0.25">
      <c r="A91" s="11"/>
      <c r="N91" s="12"/>
    </row>
    <row r="92" spans="1:14" x14ac:dyDescent="0.25">
      <c r="A92" s="11"/>
      <c r="N92" s="12"/>
    </row>
    <row r="93" spans="1:14" x14ac:dyDescent="0.25">
      <c r="A93" s="11"/>
      <c r="N93" s="12"/>
    </row>
    <row r="94" spans="1:14" x14ac:dyDescent="0.25">
      <c r="A94" s="11"/>
      <c r="N94" s="12"/>
    </row>
    <row r="95" spans="1:14" x14ac:dyDescent="0.25">
      <c r="A95" s="11"/>
      <c r="N95" s="12"/>
    </row>
    <row r="96" spans="1:14" ht="15.75" x14ac:dyDescent="0.25">
      <c r="A96" s="13" t="s">
        <v>46</v>
      </c>
      <c r="F96" s="10" t="s">
        <v>52</v>
      </c>
      <c r="N96" s="12"/>
    </row>
    <row r="97" spans="1:14" x14ac:dyDescent="0.25">
      <c r="A97" s="11"/>
      <c r="N97" s="12"/>
    </row>
    <row r="98" spans="1:14" x14ac:dyDescent="0.25">
      <c r="A98" s="11"/>
      <c r="N98" s="12"/>
    </row>
    <row r="99" spans="1:14" x14ac:dyDescent="0.25">
      <c r="A99" s="11"/>
      <c r="N99" s="12"/>
    </row>
    <row r="100" spans="1:14" x14ac:dyDescent="0.25">
      <c r="A100" s="11"/>
      <c r="F100" s="10" t="s">
        <v>63</v>
      </c>
      <c r="N100" s="12"/>
    </row>
    <row r="101" spans="1:14" x14ac:dyDescent="0.25">
      <c r="A101" s="11"/>
      <c r="N101" s="12"/>
    </row>
    <row r="102" spans="1:14" x14ac:dyDescent="0.25">
      <c r="A102" s="11"/>
      <c r="N102" s="12"/>
    </row>
    <row r="103" spans="1:14" x14ac:dyDescent="0.25">
      <c r="A103" s="11"/>
      <c r="N103" s="12"/>
    </row>
    <row r="104" spans="1:14" x14ac:dyDescent="0.25">
      <c r="A104" s="11"/>
      <c r="F104" s="10" t="s">
        <v>70</v>
      </c>
      <c r="N104" s="12"/>
    </row>
    <row r="105" spans="1:14" x14ac:dyDescent="0.25">
      <c r="A105" s="11"/>
      <c r="N105" s="12"/>
    </row>
    <row r="106" spans="1:14" x14ac:dyDescent="0.25">
      <c r="A106" s="11"/>
      <c r="N106" s="12"/>
    </row>
    <row r="107" spans="1:14" x14ac:dyDescent="0.25">
      <c r="A107" s="11" t="s">
        <v>69</v>
      </c>
      <c r="N107" s="12"/>
    </row>
    <row r="108" spans="1:14" x14ac:dyDescent="0.25">
      <c r="A108" s="11"/>
      <c r="F108" s="10" t="s">
        <v>71</v>
      </c>
      <c r="N108" s="12"/>
    </row>
    <row r="109" spans="1:14" x14ac:dyDescent="0.25">
      <c r="A109" s="11"/>
      <c r="N109" s="12"/>
    </row>
    <row r="110" spans="1:14" x14ac:dyDescent="0.25">
      <c r="A110" s="11"/>
      <c r="N110" s="12"/>
    </row>
    <row r="111" spans="1:14" x14ac:dyDescent="0.25">
      <c r="A111" s="11"/>
      <c r="N111" s="12"/>
    </row>
    <row r="112" spans="1:14" x14ac:dyDescent="0.25">
      <c r="A112" s="11"/>
      <c r="F112" s="10" t="s">
        <v>72</v>
      </c>
      <c r="N112" s="12"/>
    </row>
    <row r="113" spans="1:14" x14ac:dyDescent="0.25">
      <c r="A113" s="11"/>
      <c r="N113" s="12"/>
    </row>
    <row r="114" spans="1:14" x14ac:dyDescent="0.25">
      <c r="A114" s="11"/>
      <c r="N114" s="12"/>
    </row>
    <row r="115" spans="1:14" x14ac:dyDescent="0.25">
      <c r="A115" s="11"/>
      <c r="N115" s="12"/>
    </row>
    <row r="116" spans="1:14" ht="15.75" thickBot="1" x14ac:dyDescent="0.3">
      <c r="A116" s="15"/>
      <c r="B116" s="16"/>
      <c r="C116" s="16"/>
      <c r="D116" s="16"/>
      <c r="E116" s="16"/>
      <c r="F116" s="16"/>
      <c r="G116" s="16"/>
      <c r="H116" s="16"/>
      <c r="I116" s="16"/>
      <c r="J116" s="16"/>
      <c r="K116" s="16"/>
      <c r="L116" s="16"/>
      <c r="M116" s="16"/>
      <c r="N116" s="17"/>
    </row>
    <row r="117" spans="1:14" ht="27" thickBot="1" x14ac:dyDescent="0.45">
      <c r="A117" s="165" t="s">
        <v>74</v>
      </c>
      <c r="B117" s="166"/>
      <c r="C117" s="166"/>
      <c r="D117" s="166"/>
      <c r="E117" s="166"/>
      <c r="F117" s="166"/>
      <c r="G117" s="166"/>
      <c r="H117" s="166"/>
      <c r="I117" s="166"/>
      <c r="J117" s="166"/>
      <c r="K117" s="166"/>
      <c r="L117" s="166"/>
      <c r="M117" s="166"/>
      <c r="N117" s="167"/>
    </row>
    <row r="118" spans="1:14" x14ac:dyDescent="0.25">
      <c r="A118" s="25"/>
      <c r="B118" s="26"/>
      <c r="C118" s="26"/>
      <c r="D118" s="26"/>
      <c r="E118" s="26"/>
      <c r="F118" s="26"/>
      <c r="G118" s="26"/>
      <c r="H118" s="26"/>
      <c r="I118" s="26"/>
      <c r="J118" s="26"/>
      <c r="K118" s="26"/>
      <c r="L118" s="26"/>
      <c r="M118" s="26"/>
      <c r="N118" s="27"/>
    </row>
    <row r="119" spans="1:14" ht="15.75" x14ac:dyDescent="0.25">
      <c r="A119" s="13" t="s">
        <v>43</v>
      </c>
      <c r="E119" s="14" t="s">
        <v>47</v>
      </c>
      <c r="N119" s="12"/>
    </row>
    <row r="120" spans="1:14" x14ac:dyDescent="0.25">
      <c r="A120" s="11"/>
      <c r="F120" s="19" t="b">
        <v>0</v>
      </c>
      <c r="G120" s="18" t="s">
        <v>49</v>
      </c>
      <c r="H120" s="19" t="b">
        <v>0</v>
      </c>
      <c r="I120" s="10" t="s">
        <v>48</v>
      </c>
      <c r="N120" s="12"/>
    </row>
    <row r="121" spans="1:14" x14ac:dyDescent="0.25">
      <c r="A121" s="11"/>
      <c r="N121" s="12"/>
    </row>
    <row r="122" spans="1:14" x14ac:dyDescent="0.25">
      <c r="A122" s="11"/>
      <c r="N122" s="12"/>
    </row>
    <row r="123" spans="1:14" ht="15.75" x14ac:dyDescent="0.25">
      <c r="A123" s="13" t="s">
        <v>44</v>
      </c>
      <c r="G123" s="20" t="s">
        <v>50</v>
      </c>
      <c r="K123" s="10" t="s">
        <v>68</v>
      </c>
      <c r="N123" s="12"/>
    </row>
    <row r="124" spans="1:14" ht="15.75" x14ac:dyDescent="0.25">
      <c r="A124" s="13"/>
      <c r="N124" s="12"/>
    </row>
    <row r="125" spans="1:14" x14ac:dyDescent="0.25">
      <c r="A125" s="11"/>
      <c r="N125" s="12"/>
    </row>
    <row r="126" spans="1:14" x14ac:dyDescent="0.25">
      <c r="A126" s="11"/>
      <c r="N126" s="12"/>
    </row>
    <row r="127" spans="1:14" x14ac:dyDescent="0.25">
      <c r="A127" s="11"/>
      <c r="N127" s="12"/>
    </row>
    <row r="128" spans="1:14" x14ac:dyDescent="0.25">
      <c r="A128" s="11"/>
      <c r="G128" s="20"/>
      <c r="N128" s="12"/>
    </row>
    <row r="129" spans="1:14" ht="15.75" x14ac:dyDescent="0.25">
      <c r="A129" s="13" t="s">
        <v>45</v>
      </c>
      <c r="F129" s="10" t="s">
        <v>51</v>
      </c>
      <c r="N129" s="12"/>
    </row>
    <row r="130" spans="1:14" x14ac:dyDescent="0.25">
      <c r="A130" s="11"/>
      <c r="N130" s="12"/>
    </row>
    <row r="131" spans="1:14" x14ac:dyDescent="0.25">
      <c r="A131" s="11"/>
      <c r="N131" s="12"/>
    </row>
    <row r="132" spans="1:14" x14ac:dyDescent="0.25">
      <c r="A132" s="11"/>
      <c r="N132" s="12"/>
    </row>
    <row r="133" spans="1:14" x14ac:dyDescent="0.25">
      <c r="A133" s="11"/>
      <c r="N133" s="12"/>
    </row>
    <row r="134" spans="1:14" x14ac:dyDescent="0.25">
      <c r="A134" s="11"/>
      <c r="N134" s="12"/>
    </row>
    <row r="135" spans="1:14" ht="15.75" x14ac:dyDescent="0.25">
      <c r="A135" s="13" t="s">
        <v>46</v>
      </c>
      <c r="F135" s="10" t="s">
        <v>52</v>
      </c>
      <c r="N135" s="12"/>
    </row>
    <row r="136" spans="1:14" x14ac:dyDescent="0.25">
      <c r="A136" s="11"/>
      <c r="N136" s="12"/>
    </row>
    <row r="137" spans="1:14" x14ac:dyDescent="0.25">
      <c r="A137" s="11"/>
      <c r="N137" s="12"/>
    </row>
    <row r="138" spans="1:14" x14ac:dyDescent="0.25">
      <c r="A138" s="11"/>
      <c r="N138" s="12"/>
    </row>
    <row r="139" spans="1:14" x14ac:dyDescent="0.25">
      <c r="A139" s="11"/>
      <c r="F139" s="10" t="s">
        <v>63</v>
      </c>
      <c r="N139" s="12"/>
    </row>
    <row r="140" spans="1:14" x14ac:dyDescent="0.25">
      <c r="A140" s="11"/>
      <c r="N140" s="12"/>
    </row>
    <row r="141" spans="1:14" x14ac:dyDescent="0.25">
      <c r="A141" s="11"/>
      <c r="N141" s="12"/>
    </row>
    <row r="142" spans="1:14" x14ac:dyDescent="0.25">
      <c r="A142" s="11"/>
      <c r="N142" s="12"/>
    </row>
    <row r="143" spans="1:14" x14ac:dyDescent="0.25">
      <c r="A143" s="11"/>
      <c r="F143" s="10" t="s">
        <v>70</v>
      </c>
      <c r="N143" s="12"/>
    </row>
    <row r="144" spans="1:14" x14ac:dyDescent="0.25">
      <c r="A144" s="11"/>
      <c r="N144" s="12"/>
    </row>
    <row r="145" spans="1:14" x14ac:dyDescent="0.25">
      <c r="A145" s="11"/>
      <c r="N145" s="12"/>
    </row>
    <row r="146" spans="1:14" x14ac:dyDescent="0.25">
      <c r="A146" s="11" t="s">
        <v>69</v>
      </c>
      <c r="N146" s="12"/>
    </row>
    <row r="147" spans="1:14" x14ac:dyDescent="0.25">
      <c r="A147" s="11"/>
      <c r="F147" s="10" t="s">
        <v>71</v>
      </c>
      <c r="N147" s="12"/>
    </row>
    <row r="148" spans="1:14" x14ac:dyDescent="0.25">
      <c r="A148" s="11"/>
      <c r="N148" s="12"/>
    </row>
    <row r="149" spans="1:14" x14ac:dyDescent="0.25">
      <c r="A149" s="11"/>
      <c r="N149" s="12"/>
    </row>
    <row r="150" spans="1:14" x14ac:dyDescent="0.25">
      <c r="A150" s="11"/>
      <c r="N150" s="12"/>
    </row>
    <row r="151" spans="1:14" x14ac:dyDescent="0.25">
      <c r="A151" s="11"/>
      <c r="F151" s="10" t="s">
        <v>72</v>
      </c>
      <c r="N151" s="12"/>
    </row>
    <row r="152" spans="1:14" x14ac:dyDescent="0.25">
      <c r="A152" s="11"/>
      <c r="N152" s="12"/>
    </row>
    <row r="153" spans="1:14" x14ac:dyDescent="0.25">
      <c r="A153" s="11"/>
      <c r="N153" s="12"/>
    </row>
    <row r="154" spans="1:14" x14ac:dyDescent="0.25">
      <c r="A154" s="11"/>
      <c r="N154" s="12"/>
    </row>
    <row r="155" spans="1:14" ht="15.75" thickBot="1" x14ac:dyDescent="0.3">
      <c r="A155" s="15"/>
      <c r="B155" s="16"/>
      <c r="C155" s="16"/>
      <c r="D155" s="16"/>
      <c r="E155" s="16"/>
      <c r="F155" s="16"/>
      <c r="G155" s="16"/>
      <c r="H155" s="16"/>
      <c r="I155" s="16"/>
      <c r="J155" s="16"/>
      <c r="K155" s="16"/>
      <c r="L155" s="16"/>
      <c r="M155" s="16"/>
      <c r="N155" s="17"/>
    </row>
    <row r="156" spans="1:14" ht="27" thickBot="1" x14ac:dyDescent="0.45">
      <c r="A156" s="165" t="s">
        <v>75</v>
      </c>
      <c r="B156" s="166"/>
      <c r="C156" s="166"/>
      <c r="D156" s="166"/>
      <c r="E156" s="166"/>
      <c r="F156" s="166"/>
      <c r="G156" s="166"/>
      <c r="H156" s="166"/>
      <c r="I156" s="166"/>
      <c r="J156" s="166"/>
      <c r="K156" s="166"/>
      <c r="L156" s="166"/>
      <c r="M156" s="166"/>
      <c r="N156" s="167"/>
    </row>
    <row r="157" spans="1:14" x14ac:dyDescent="0.25">
      <c r="A157" s="25"/>
      <c r="B157" s="26"/>
      <c r="C157" s="26"/>
      <c r="D157" s="26"/>
      <c r="E157" s="26"/>
      <c r="F157" s="26"/>
      <c r="G157" s="26"/>
      <c r="H157" s="26"/>
      <c r="I157" s="26"/>
      <c r="J157" s="26"/>
      <c r="K157" s="26"/>
      <c r="L157" s="26"/>
      <c r="M157" s="26"/>
      <c r="N157" s="27"/>
    </row>
    <row r="158" spans="1:14" ht="15.75" x14ac:dyDescent="0.25">
      <c r="A158" s="13" t="s">
        <v>43</v>
      </c>
      <c r="E158" s="14" t="s">
        <v>47</v>
      </c>
      <c r="N158" s="12"/>
    </row>
    <row r="159" spans="1:14" x14ac:dyDescent="0.25">
      <c r="A159" s="11"/>
      <c r="F159" s="19" t="b">
        <v>0</v>
      </c>
      <c r="G159" s="18" t="s">
        <v>49</v>
      </c>
      <c r="H159" s="19" t="b">
        <v>0</v>
      </c>
      <c r="I159" s="10" t="s">
        <v>48</v>
      </c>
      <c r="N159" s="12"/>
    </row>
    <row r="160" spans="1:14" x14ac:dyDescent="0.25">
      <c r="A160" s="11"/>
      <c r="N160" s="12"/>
    </row>
    <row r="161" spans="1:14" x14ac:dyDescent="0.25">
      <c r="A161" s="11"/>
      <c r="N161" s="12"/>
    </row>
    <row r="162" spans="1:14" ht="15.75" x14ac:dyDescent="0.25">
      <c r="A162" s="13" t="s">
        <v>44</v>
      </c>
      <c r="G162" s="20" t="s">
        <v>50</v>
      </c>
      <c r="K162" s="10" t="s">
        <v>68</v>
      </c>
      <c r="N162" s="12"/>
    </row>
    <row r="163" spans="1:14" ht="15.75" x14ac:dyDescent="0.25">
      <c r="A163" s="13"/>
      <c r="N163" s="12"/>
    </row>
    <row r="164" spans="1:14" x14ac:dyDescent="0.25">
      <c r="A164" s="11"/>
      <c r="N164" s="12"/>
    </row>
    <row r="165" spans="1:14" x14ac:dyDescent="0.25">
      <c r="A165" s="11"/>
      <c r="N165" s="12"/>
    </row>
    <row r="166" spans="1:14" x14ac:dyDescent="0.25">
      <c r="A166" s="11"/>
      <c r="N166" s="12"/>
    </row>
    <row r="167" spans="1:14" x14ac:dyDescent="0.25">
      <c r="A167" s="11"/>
      <c r="G167" s="20"/>
      <c r="N167" s="12"/>
    </row>
    <row r="168" spans="1:14" ht="15.75" x14ac:dyDescent="0.25">
      <c r="A168" s="13" t="s">
        <v>45</v>
      </c>
      <c r="F168" s="10" t="s">
        <v>51</v>
      </c>
      <c r="N168" s="12"/>
    </row>
    <row r="169" spans="1:14" x14ac:dyDescent="0.25">
      <c r="A169" s="11"/>
      <c r="N169" s="12"/>
    </row>
    <row r="170" spans="1:14" x14ac:dyDescent="0.25">
      <c r="A170" s="11"/>
      <c r="N170" s="12"/>
    </row>
    <row r="171" spans="1:14" x14ac:dyDescent="0.25">
      <c r="A171" s="11"/>
      <c r="N171" s="12"/>
    </row>
    <row r="172" spans="1:14" x14ac:dyDescent="0.25">
      <c r="A172" s="11"/>
      <c r="N172" s="12"/>
    </row>
    <row r="173" spans="1:14" x14ac:dyDescent="0.25">
      <c r="A173" s="11"/>
      <c r="N173" s="12"/>
    </row>
    <row r="174" spans="1:14" ht="15.75" x14ac:dyDescent="0.25">
      <c r="A174" s="13" t="s">
        <v>46</v>
      </c>
      <c r="F174" s="10" t="s">
        <v>52</v>
      </c>
      <c r="N174" s="12"/>
    </row>
    <row r="175" spans="1:14" x14ac:dyDescent="0.25">
      <c r="A175" s="11"/>
      <c r="N175" s="12"/>
    </row>
    <row r="176" spans="1:14" x14ac:dyDescent="0.25">
      <c r="A176" s="11"/>
      <c r="N176" s="12"/>
    </row>
    <row r="177" spans="1:14" x14ac:dyDescent="0.25">
      <c r="A177" s="11"/>
      <c r="N177" s="12"/>
    </row>
    <row r="178" spans="1:14" x14ac:dyDescent="0.25">
      <c r="A178" s="11"/>
      <c r="F178" s="10" t="s">
        <v>63</v>
      </c>
      <c r="N178" s="12"/>
    </row>
    <row r="179" spans="1:14" x14ac:dyDescent="0.25">
      <c r="A179" s="11"/>
      <c r="N179" s="12"/>
    </row>
    <row r="180" spans="1:14" x14ac:dyDescent="0.25">
      <c r="A180" s="11"/>
      <c r="N180" s="12"/>
    </row>
    <row r="181" spans="1:14" x14ac:dyDescent="0.25">
      <c r="A181" s="11"/>
      <c r="N181" s="12"/>
    </row>
    <row r="182" spans="1:14" x14ac:dyDescent="0.25">
      <c r="A182" s="11"/>
      <c r="F182" s="10" t="s">
        <v>70</v>
      </c>
      <c r="N182" s="12"/>
    </row>
    <row r="183" spans="1:14" x14ac:dyDescent="0.25">
      <c r="A183" s="11"/>
      <c r="N183" s="12"/>
    </row>
    <row r="184" spans="1:14" x14ac:dyDescent="0.25">
      <c r="A184" s="11"/>
      <c r="N184" s="12"/>
    </row>
    <row r="185" spans="1:14" x14ac:dyDescent="0.25">
      <c r="A185" s="11" t="s">
        <v>69</v>
      </c>
      <c r="N185" s="12"/>
    </row>
    <row r="186" spans="1:14" x14ac:dyDescent="0.25">
      <c r="A186" s="11"/>
      <c r="F186" s="10" t="s">
        <v>71</v>
      </c>
      <c r="N186" s="12"/>
    </row>
    <row r="187" spans="1:14" x14ac:dyDescent="0.25">
      <c r="A187" s="11"/>
      <c r="N187" s="12"/>
    </row>
    <row r="188" spans="1:14" x14ac:dyDescent="0.25">
      <c r="A188" s="11"/>
      <c r="N188" s="12"/>
    </row>
    <row r="189" spans="1:14" x14ac:dyDescent="0.25">
      <c r="A189" s="11"/>
      <c r="N189" s="12"/>
    </row>
    <row r="190" spans="1:14" x14ac:dyDescent="0.25">
      <c r="A190" s="11"/>
      <c r="F190" s="10" t="s">
        <v>72</v>
      </c>
      <c r="N190" s="12"/>
    </row>
    <row r="191" spans="1:14" x14ac:dyDescent="0.25">
      <c r="A191" s="11"/>
      <c r="N191" s="12"/>
    </row>
    <row r="192" spans="1:14" x14ac:dyDescent="0.25">
      <c r="A192" s="11"/>
      <c r="N192" s="12"/>
    </row>
    <row r="193" spans="1:14" x14ac:dyDescent="0.25">
      <c r="A193" s="11"/>
      <c r="N193" s="12"/>
    </row>
    <row r="194" spans="1:14" ht="15.75" thickBot="1" x14ac:dyDescent="0.3">
      <c r="A194" s="15"/>
      <c r="B194" s="16"/>
      <c r="C194" s="16"/>
      <c r="D194" s="16"/>
      <c r="E194" s="16"/>
      <c r="F194" s="16"/>
      <c r="G194" s="16"/>
      <c r="H194" s="16"/>
      <c r="I194" s="16"/>
      <c r="J194" s="16"/>
      <c r="K194" s="16"/>
      <c r="L194" s="16"/>
      <c r="M194" s="16"/>
      <c r="N194" s="17"/>
    </row>
    <row r="195" spans="1:14" ht="25.5" thickBot="1" x14ac:dyDescent="0.45">
      <c r="A195" s="171" t="s">
        <v>185</v>
      </c>
      <c r="B195" s="172"/>
      <c r="C195" s="172"/>
      <c r="D195" s="172"/>
      <c r="E195" s="172"/>
      <c r="F195" s="172"/>
      <c r="G195" s="172"/>
      <c r="H195" s="172"/>
      <c r="I195" s="172"/>
      <c r="J195" s="172"/>
      <c r="K195" s="172"/>
      <c r="L195" s="172"/>
      <c r="M195" s="172"/>
      <c r="N195" s="173"/>
    </row>
    <row r="196" spans="1:14" x14ac:dyDescent="0.25">
      <c r="A196" s="25"/>
      <c r="B196" s="26"/>
      <c r="C196" s="26"/>
      <c r="D196" s="26"/>
      <c r="E196" s="26"/>
      <c r="F196" s="26"/>
      <c r="G196" s="26"/>
      <c r="H196" s="26"/>
      <c r="I196" s="26"/>
      <c r="J196" s="26"/>
      <c r="K196" s="26"/>
      <c r="L196" s="26"/>
      <c r="M196" s="26"/>
      <c r="N196" s="27"/>
    </row>
    <row r="197" spans="1:14" ht="15.75" x14ac:dyDescent="0.25">
      <c r="A197" s="13" t="s">
        <v>43</v>
      </c>
      <c r="E197" s="14" t="s">
        <v>47</v>
      </c>
      <c r="N197" s="12"/>
    </row>
    <row r="198" spans="1:14" x14ac:dyDescent="0.25">
      <c r="A198" s="11"/>
      <c r="F198" s="19" t="b">
        <v>0</v>
      </c>
      <c r="G198" s="18" t="s">
        <v>49</v>
      </c>
      <c r="H198" s="19" t="b">
        <v>0</v>
      </c>
      <c r="I198" s="10" t="s">
        <v>48</v>
      </c>
      <c r="K198" s="10" t="s">
        <v>68</v>
      </c>
      <c r="N198" s="12"/>
    </row>
    <row r="199" spans="1:14" x14ac:dyDescent="0.25">
      <c r="A199" s="11"/>
      <c r="N199" s="12"/>
    </row>
    <row r="200" spans="1:14" x14ac:dyDescent="0.25">
      <c r="A200" s="11"/>
      <c r="N200" s="12"/>
    </row>
    <row r="201" spans="1:14" ht="15.75" x14ac:dyDescent="0.25">
      <c r="A201" s="13" t="s">
        <v>44</v>
      </c>
      <c r="G201" s="20" t="s">
        <v>50</v>
      </c>
      <c r="K201"/>
      <c r="N201" s="12"/>
    </row>
    <row r="202" spans="1:14" ht="15.75" x14ac:dyDescent="0.25">
      <c r="A202" s="13"/>
      <c r="N202" s="12"/>
    </row>
    <row r="203" spans="1:14" x14ac:dyDescent="0.25">
      <c r="A203" s="11"/>
      <c r="N203" s="12"/>
    </row>
    <row r="204" spans="1:14" x14ac:dyDescent="0.25">
      <c r="A204" s="11"/>
      <c r="N204" s="12"/>
    </row>
    <row r="205" spans="1:14" x14ac:dyDescent="0.25">
      <c r="A205" s="11"/>
      <c r="F205" s="10" t="s">
        <v>51</v>
      </c>
      <c r="N205" s="12"/>
    </row>
    <row r="206" spans="1:14" x14ac:dyDescent="0.25">
      <c r="A206" s="11"/>
      <c r="N206" s="12"/>
    </row>
    <row r="207" spans="1:14" ht="15.75" x14ac:dyDescent="0.25">
      <c r="A207" s="13" t="s">
        <v>45</v>
      </c>
      <c r="N207" s="12"/>
    </row>
    <row r="208" spans="1:14" x14ac:dyDescent="0.25">
      <c r="A208" s="11"/>
      <c r="N208" s="12"/>
    </row>
    <row r="209" spans="1:14" x14ac:dyDescent="0.25">
      <c r="A209" s="11"/>
      <c r="N209" s="12"/>
    </row>
    <row r="210" spans="1:14" x14ac:dyDescent="0.25">
      <c r="A210" s="11"/>
      <c r="N210" s="12"/>
    </row>
    <row r="211" spans="1:14" x14ac:dyDescent="0.25">
      <c r="A211" s="11"/>
      <c r="F211" s="10" t="s">
        <v>52</v>
      </c>
      <c r="N211" s="12"/>
    </row>
    <row r="212" spans="1:14" x14ac:dyDescent="0.25">
      <c r="A212" s="11"/>
      <c r="N212" s="12"/>
    </row>
    <row r="213" spans="1:14" ht="15.75" x14ac:dyDescent="0.25">
      <c r="A213" s="13" t="s">
        <v>46</v>
      </c>
      <c r="N213" s="12"/>
    </row>
    <row r="214" spans="1:14" x14ac:dyDescent="0.25">
      <c r="A214" s="11"/>
      <c r="N214" s="12"/>
    </row>
    <row r="215" spans="1:14" x14ac:dyDescent="0.25">
      <c r="A215" s="11"/>
      <c r="F215" s="10" t="s">
        <v>79</v>
      </c>
      <c r="N215" s="12"/>
    </row>
    <row r="216" spans="1:14" x14ac:dyDescent="0.25">
      <c r="A216" s="11"/>
      <c r="N216" s="12"/>
    </row>
    <row r="217" spans="1:14" x14ac:dyDescent="0.25">
      <c r="A217" s="11"/>
      <c r="N217" s="12"/>
    </row>
    <row r="218" spans="1:14" x14ac:dyDescent="0.25">
      <c r="A218" s="11"/>
      <c r="F218" s="10" t="s">
        <v>70</v>
      </c>
      <c r="N218" s="12"/>
    </row>
    <row r="219" spans="1:14" x14ac:dyDescent="0.25">
      <c r="A219" s="11"/>
      <c r="N219" s="12"/>
    </row>
    <row r="220" spans="1:14" x14ac:dyDescent="0.25">
      <c r="A220" s="11"/>
      <c r="N220" s="12"/>
    </row>
    <row r="221" spans="1:14" x14ac:dyDescent="0.25">
      <c r="A221" s="11"/>
      <c r="N221" s="12"/>
    </row>
    <row r="222" spans="1:14" x14ac:dyDescent="0.25">
      <c r="A222" s="11"/>
      <c r="N222" s="12"/>
    </row>
    <row r="223" spans="1:14" x14ac:dyDescent="0.25">
      <c r="A223" s="11" t="s">
        <v>69</v>
      </c>
      <c r="N223" s="12"/>
    </row>
    <row r="224" spans="1:14" x14ac:dyDescent="0.25">
      <c r="A224" s="11"/>
      <c r="N224" s="12"/>
    </row>
    <row r="225" spans="1:14" x14ac:dyDescent="0.25">
      <c r="A225" s="11"/>
      <c r="N225" s="12"/>
    </row>
    <row r="226" spans="1:14" x14ac:dyDescent="0.25">
      <c r="A226" s="11"/>
      <c r="N226" s="12"/>
    </row>
    <row r="227" spans="1:14" x14ac:dyDescent="0.25">
      <c r="A227" s="11"/>
      <c r="N227" s="12"/>
    </row>
    <row r="228" spans="1:14" x14ac:dyDescent="0.25">
      <c r="A228" s="11"/>
      <c r="N228" s="12"/>
    </row>
    <row r="229" spans="1:14" x14ac:dyDescent="0.25">
      <c r="A229" s="11"/>
      <c r="N229" s="12"/>
    </row>
    <row r="230" spans="1:14" x14ac:dyDescent="0.25">
      <c r="A230" s="11"/>
      <c r="N230" s="12"/>
    </row>
    <row r="231" spans="1:14" x14ac:dyDescent="0.25">
      <c r="A231" s="11"/>
      <c r="N231" s="12"/>
    </row>
    <row r="232" spans="1:14" x14ac:dyDescent="0.25">
      <c r="A232" s="11"/>
      <c r="K232" s="10" t="s">
        <v>72</v>
      </c>
      <c r="N232" s="12"/>
    </row>
    <row r="233" spans="1:14" x14ac:dyDescent="0.25">
      <c r="A233" s="11" t="s">
        <v>71</v>
      </c>
      <c r="N233" s="12"/>
    </row>
    <row r="234" spans="1:14" x14ac:dyDescent="0.25">
      <c r="A234" s="11"/>
      <c r="N234" s="12"/>
    </row>
    <row r="235" spans="1:14" x14ac:dyDescent="0.25">
      <c r="A235" s="11"/>
      <c r="N235" s="12"/>
    </row>
    <row r="236" spans="1:14" x14ac:dyDescent="0.25">
      <c r="A236" s="11"/>
      <c r="N236" s="12"/>
    </row>
    <row r="237" spans="1:14" x14ac:dyDescent="0.25">
      <c r="A237" s="11"/>
      <c r="N237" s="12"/>
    </row>
    <row r="238" spans="1:14" x14ac:dyDescent="0.25">
      <c r="A238" s="11"/>
      <c r="N238" s="12"/>
    </row>
    <row r="239" spans="1:14" x14ac:dyDescent="0.25">
      <c r="A239" s="11"/>
      <c r="N239" s="12"/>
    </row>
    <row r="240" spans="1:14" x14ac:dyDescent="0.25">
      <c r="A240" s="11"/>
      <c r="N240" s="12"/>
    </row>
    <row r="241" spans="1:14" x14ac:dyDescent="0.25">
      <c r="A241" s="11"/>
      <c r="N241" s="12"/>
    </row>
    <row r="242" spans="1:14" ht="15.75" thickBot="1" x14ac:dyDescent="0.3">
      <c r="A242" s="15"/>
      <c r="B242" s="16"/>
      <c r="C242" s="16"/>
      <c r="D242" s="16"/>
      <c r="E242" s="16"/>
      <c r="F242" s="16"/>
      <c r="G242" s="16"/>
      <c r="H242" s="16"/>
      <c r="I242" s="16"/>
      <c r="J242" s="16"/>
      <c r="K242" s="16"/>
      <c r="L242" s="16"/>
      <c r="M242" s="16"/>
      <c r="N242" s="17"/>
    </row>
    <row r="243" spans="1:14" ht="25.5" thickBot="1" x14ac:dyDescent="0.45">
      <c r="A243" s="171" t="s">
        <v>190</v>
      </c>
      <c r="B243" s="172"/>
      <c r="C243" s="172"/>
      <c r="D243" s="172"/>
      <c r="E243" s="172"/>
      <c r="F243" s="172"/>
      <c r="G243" s="172"/>
      <c r="H243" s="172"/>
      <c r="I243" s="172"/>
      <c r="J243" s="172"/>
      <c r="K243" s="172"/>
      <c r="L243" s="172"/>
      <c r="M243" s="172"/>
      <c r="N243" s="173"/>
    </row>
    <row r="244" spans="1:14" x14ac:dyDescent="0.25">
      <c r="A244" s="25"/>
      <c r="B244" s="26"/>
      <c r="C244" s="26"/>
      <c r="D244" s="26"/>
      <c r="E244" s="26"/>
      <c r="F244" s="26"/>
      <c r="G244" s="26"/>
      <c r="H244" s="26"/>
      <c r="I244" s="26"/>
      <c r="J244" s="26"/>
      <c r="K244" s="26"/>
      <c r="L244" s="26"/>
      <c r="M244" s="26"/>
      <c r="N244" s="27"/>
    </row>
    <row r="245" spans="1:14" ht="15.75" x14ac:dyDescent="0.25">
      <c r="A245" s="13" t="s">
        <v>43</v>
      </c>
      <c r="E245" s="14" t="s">
        <v>47</v>
      </c>
      <c r="N245" s="12"/>
    </row>
    <row r="246" spans="1:14" x14ac:dyDescent="0.25">
      <c r="A246" s="11"/>
      <c r="F246" s="19" t="b">
        <v>0</v>
      </c>
      <c r="G246" s="18" t="s">
        <v>49</v>
      </c>
      <c r="H246" s="19" t="b">
        <v>0</v>
      </c>
      <c r="I246" s="10" t="s">
        <v>48</v>
      </c>
      <c r="K246" s="10" t="s">
        <v>68</v>
      </c>
      <c r="N246" s="12"/>
    </row>
    <row r="247" spans="1:14" x14ac:dyDescent="0.25">
      <c r="A247" s="11"/>
      <c r="N247" s="12"/>
    </row>
    <row r="248" spans="1:14" x14ac:dyDescent="0.25">
      <c r="A248" s="11"/>
      <c r="N248" s="12"/>
    </row>
    <row r="249" spans="1:14" ht="15.75" x14ac:dyDescent="0.25">
      <c r="A249" s="13" t="s">
        <v>44</v>
      </c>
      <c r="G249" s="20" t="s">
        <v>50</v>
      </c>
      <c r="N249" s="12"/>
    </row>
    <row r="250" spans="1:14" ht="15.75" x14ac:dyDescent="0.25">
      <c r="A250" s="13"/>
      <c r="N250" s="12"/>
    </row>
    <row r="251" spans="1:14" x14ac:dyDescent="0.25">
      <c r="A251" s="11"/>
      <c r="N251" s="12"/>
    </row>
    <row r="252" spans="1:14" x14ac:dyDescent="0.25">
      <c r="A252" s="11"/>
      <c r="N252" s="12"/>
    </row>
    <row r="253" spans="1:14" x14ac:dyDescent="0.25">
      <c r="A253" s="11"/>
      <c r="F253" s="10" t="s">
        <v>51</v>
      </c>
      <c r="N253" s="12"/>
    </row>
    <row r="254" spans="1:14" x14ac:dyDescent="0.25">
      <c r="A254" s="11"/>
      <c r="N254" s="12"/>
    </row>
    <row r="255" spans="1:14" ht="15.75" x14ac:dyDescent="0.25">
      <c r="A255" s="13" t="s">
        <v>45</v>
      </c>
      <c r="N255" s="12"/>
    </row>
    <row r="256" spans="1:14" x14ac:dyDescent="0.25">
      <c r="A256" s="11"/>
      <c r="N256" s="12"/>
    </row>
    <row r="257" spans="1:14" x14ac:dyDescent="0.25">
      <c r="A257" s="11"/>
      <c r="N257" s="12"/>
    </row>
    <row r="258" spans="1:14" x14ac:dyDescent="0.25">
      <c r="A258" s="11"/>
      <c r="N258" s="12"/>
    </row>
    <row r="259" spans="1:14" x14ac:dyDescent="0.25">
      <c r="A259" s="11"/>
      <c r="F259" s="10" t="s">
        <v>52</v>
      </c>
      <c r="N259" s="12"/>
    </row>
    <row r="260" spans="1:14" x14ac:dyDescent="0.25">
      <c r="A260" s="11"/>
      <c r="N260" s="12"/>
    </row>
    <row r="261" spans="1:14" ht="15.75" x14ac:dyDescent="0.25">
      <c r="A261" s="13" t="s">
        <v>46</v>
      </c>
      <c r="N261" s="12"/>
    </row>
    <row r="262" spans="1:14" x14ac:dyDescent="0.25">
      <c r="A262" s="11"/>
      <c r="N262" s="12"/>
    </row>
    <row r="263" spans="1:14" x14ac:dyDescent="0.25">
      <c r="A263" s="11"/>
      <c r="F263" s="10" t="s">
        <v>79</v>
      </c>
      <c r="N263" s="12"/>
    </row>
    <row r="264" spans="1:14" x14ac:dyDescent="0.25">
      <c r="A264" s="11"/>
      <c r="N264" s="12"/>
    </row>
    <row r="265" spans="1:14" x14ac:dyDescent="0.25">
      <c r="A265" s="11"/>
      <c r="N265" s="12"/>
    </row>
    <row r="266" spans="1:14" x14ac:dyDescent="0.25">
      <c r="A266" s="11"/>
      <c r="F266" s="10" t="s">
        <v>70</v>
      </c>
      <c r="K266" s="10" t="s">
        <v>72</v>
      </c>
      <c r="N266" s="12"/>
    </row>
    <row r="267" spans="1:14" x14ac:dyDescent="0.25">
      <c r="A267" s="11"/>
      <c r="N267" s="12"/>
    </row>
    <row r="268" spans="1:14" x14ac:dyDescent="0.25">
      <c r="A268" s="11"/>
      <c r="N268" s="12"/>
    </row>
    <row r="269" spans="1:14" x14ac:dyDescent="0.25">
      <c r="A269" s="11"/>
      <c r="N269" s="12"/>
    </row>
    <row r="270" spans="1:14" x14ac:dyDescent="0.25">
      <c r="A270" s="11"/>
      <c r="N270" s="12"/>
    </row>
    <row r="271" spans="1:14" x14ac:dyDescent="0.25">
      <c r="A271" s="11" t="s">
        <v>69</v>
      </c>
      <c r="N271" s="12"/>
    </row>
    <row r="272" spans="1:14" x14ac:dyDescent="0.25">
      <c r="A272" s="11"/>
      <c r="J272" s="10" t="s">
        <v>71</v>
      </c>
      <c r="N272" s="12"/>
    </row>
    <row r="273" spans="1:14" x14ac:dyDescent="0.25">
      <c r="A273" s="11"/>
      <c r="N273" s="12"/>
    </row>
    <row r="274" spans="1:14" x14ac:dyDescent="0.25">
      <c r="A274" s="11"/>
      <c r="N274" s="12"/>
    </row>
    <row r="275" spans="1:14" x14ac:dyDescent="0.25">
      <c r="A275" s="11"/>
      <c r="N275" s="12"/>
    </row>
    <row r="276" spans="1:14" x14ac:dyDescent="0.25">
      <c r="A276" s="11"/>
      <c r="N276" s="12"/>
    </row>
    <row r="277" spans="1:14" x14ac:dyDescent="0.25">
      <c r="A277" s="11"/>
      <c r="N277" s="12"/>
    </row>
    <row r="278" spans="1:14" x14ac:dyDescent="0.25">
      <c r="A278" s="11"/>
      <c r="N278" s="12"/>
    </row>
    <row r="279" spans="1:14" x14ac:dyDescent="0.25">
      <c r="A279" s="11"/>
      <c r="N279" s="12"/>
    </row>
    <row r="280" spans="1:14" x14ac:dyDescent="0.25">
      <c r="A280" s="11"/>
      <c r="N280" s="12"/>
    </row>
    <row r="281" spans="1:14" x14ac:dyDescent="0.25">
      <c r="A281" s="11"/>
      <c r="N281" s="12"/>
    </row>
    <row r="282" spans="1:14" x14ac:dyDescent="0.25">
      <c r="A282" s="11"/>
      <c r="N282" s="12"/>
    </row>
    <row r="283" spans="1:14" x14ac:dyDescent="0.25">
      <c r="A283" s="11"/>
      <c r="N283" s="12"/>
    </row>
    <row r="284" spans="1:14" ht="15.75" thickBot="1" x14ac:dyDescent="0.3">
      <c r="A284" s="15"/>
      <c r="B284" s="16"/>
      <c r="C284" s="16"/>
      <c r="D284" s="16"/>
      <c r="E284" s="16"/>
      <c r="F284" s="16"/>
      <c r="G284" s="16"/>
      <c r="H284" s="16"/>
      <c r="I284" s="16"/>
      <c r="J284" s="16"/>
      <c r="K284" s="16"/>
      <c r="L284" s="16"/>
      <c r="M284" s="16"/>
      <c r="N284" s="17"/>
    </row>
    <row r="285" spans="1:14" ht="25.5" thickBot="1" x14ac:dyDescent="0.45">
      <c r="A285" s="174" t="s">
        <v>191</v>
      </c>
      <c r="B285" s="172"/>
      <c r="C285" s="172"/>
      <c r="D285" s="172"/>
      <c r="E285" s="172"/>
      <c r="F285" s="172"/>
      <c r="G285" s="172"/>
      <c r="H285" s="172"/>
      <c r="I285" s="172"/>
      <c r="J285" s="172"/>
      <c r="K285" s="172"/>
      <c r="L285" s="172"/>
      <c r="M285" s="172"/>
      <c r="N285" s="173"/>
    </row>
    <row r="286" spans="1:14" x14ac:dyDescent="0.25">
      <c r="A286" s="25"/>
      <c r="B286" s="26"/>
      <c r="C286" s="26"/>
      <c r="D286" s="26"/>
      <c r="E286" s="26"/>
      <c r="F286" s="26"/>
      <c r="G286" s="26"/>
      <c r="H286" s="26"/>
      <c r="I286" s="26"/>
      <c r="J286" s="26"/>
      <c r="K286" s="26"/>
      <c r="L286" s="26"/>
      <c r="M286" s="26"/>
      <c r="N286" s="27"/>
    </row>
    <row r="287" spans="1:14" ht="15.75" x14ac:dyDescent="0.25">
      <c r="A287" s="13" t="s">
        <v>43</v>
      </c>
      <c r="E287" s="14" t="s">
        <v>47</v>
      </c>
      <c r="N287" s="12"/>
    </row>
    <row r="288" spans="1:14" x14ac:dyDescent="0.25">
      <c r="A288" s="11"/>
      <c r="F288" s="19" t="b">
        <v>0</v>
      </c>
      <c r="G288" s="18" t="s">
        <v>49</v>
      </c>
      <c r="H288" s="19" t="b">
        <v>0</v>
      </c>
      <c r="I288" s="10" t="s">
        <v>48</v>
      </c>
      <c r="K288" s="10" t="s">
        <v>68</v>
      </c>
      <c r="N288" s="12"/>
    </row>
    <row r="289" spans="1:14" x14ac:dyDescent="0.25">
      <c r="A289" s="11"/>
      <c r="N289" s="12"/>
    </row>
    <row r="290" spans="1:14" x14ac:dyDescent="0.25">
      <c r="A290" s="11"/>
      <c r="N290" s="12"/>
    </row>
    <row r="291" spans="1:14" ht="15.75" x14ac:dyDescent="0.25">
      <c r="A291" s="13" t="s">
        <v>44</v>
      </c>
      <c r="G291" s="20" t="s">
        <v>50</v>
      </c>
      <c r="N291" s="12"/>
    </row>
    <row r="292" spans="1:14" ht="15.75" x14ac:dyDescent="0.25">
      <c r="A292" s="13"/>
      <c r="N292" s="12"/>
    </row>
    <row r="293" spans="1:14" x14ac:dyDescent="0.25">
      <c r="A293" s="11"/>
      <c r="N293" s="12"/>
    </row>
    <row r="294" spans="1:14" x14ac:dyDescent="0.25">
      <c r="A294" s="11"/>
      <c r="N294" s="12"/>
    </row>
    <row r="295" spans="1:14" x14ac:dyDescent="0.25">
      <c r="A295" s="11"/>
      <c r="F295" s="10" t="s">
        <v>51</v>
      </c>
      <c r="N295" s="12"/>
    </row>
    <row r="296" spans="1:14" x14ac:dyDescent="0.25">
      <c r="A296" s="11"/>
      <c r="N296" s="12"/>
    </row>
    <row r="297" spans="1:14" ht="15.75" x14ac:dyDescent="0.25">
      <c r="A297" s="13" t="s">
        <v>45</v>
      </c>
      <c r="N297" s="12"/>
    </row>
    <row r="298" spans="1:14" x14ac:dyDescent="0.25">
      <c r="A298" s="11"/>
      <c r="N298" s="12"/>
    </row>
    <row r="299" spans="1:14" x14ac:dyDescent="0.25">
      <c r="A299" s="11"/>
      <c r="N299" s="12"/>
    </row>
    <row r="300" spans="1:14" x14ac:dyDescent="0.25">
      <c r="A300" s="11"/>
      <c r="N300" s="12"/>
    </row>
    <row r="301" spans="1:14" x14ac:dyDescent="0.25">
      <c r="A301" s="11"/>
      <c r="F301" s="10" t="s">
        <v>52</v>
      </c>
      <c r="N301" s="12"/>
    </row>
    <row r="302" spans="1:14" x14ac:dyDescent="0.25">
      <c r="A302" s="11"/>
      <c r="N302" s="12"/>
    </row>
    <row r="303" spans="1:14" ht="15.75" x14ac:dyDescent="0.25">
      <c r="A303" s="13" t="s">
        <v>46</v>
      </c>
      <c r="N303" s="12"/>
    </row>
    <row r="304" spans="1:14" x14ac:dyDescent="0.25">
      <c r="A304" s="11"/>
      <c r="N304" s="12"/>
    </row>
    <row r="305" spans="1:14" x14ac:dyDescent="0.25">
      <c r="A305" s="11"/>
      <c r="F305" s="10" t="s">
        <v>79</v>
      </c>
      <c r="N305" s="12"/>
    </row>
    <row r="306" spans="1:14" x14ac:dyDescent="0.25">
      <c r="A306" s="11"/>
      <c r="N306" s="12"/>
    </row>
    <row r="307" spans="1:14" x14ac:dyDescent="0.25">
      <c r="A307" s="11"/>
      <c r="N307" s="12"/>
    </row>
    <row r="308" spans="1:14" x14ac:dyDescent="0.25">
      <c r="A308" s="11"/>
      <c r="F308" s="10" t="s">
        <v>70</v>
      </c>
      <c r="K308"/>
      <c r="N308" s="12"/>
    </row>
    <row r="309" spans="1:14" x14ac:dyDescent="0.25">
      <c r="A309" s="11"/>
      <c r="J309" s="10" t="s">
        <v>72</v>
      </c>
      <c r="N309" s="12"/>
    </row>
    <row r="310" spans="1:14" x14ac:dyDescent="0.25">
      <c r="A310" s="11"/>
      <c r="N310" s="12"/>
    </row>
    <row r="311" spans="1:14" x14ac:dyDescent="0.25">
      <c r="A311" s="11"/>
      <c r="N311" s="12"/>
    </row>
    <row r="312" spans="1:14" x14ac:dyDescent="0.25">
      <c r="A312" s="11"/>
      <c r="N312" s="12"/>
    </row>
    <row r="313" spans="1:14" x14ac:dyDescent="0.25">
      <c r="A313" s="11" t="s">
        <v>69</v>
      </c>
      <c r="N313" s="12"/>
    </row>
    <row r="314" spans="1:14" x14ac:dyDescent="0.25">
      <c r="A314" s="11"/>
      <c r="J314" s="10" t="s">
        <v>71</v>
      </c>
      <c r="N314" s="12"/>
    </row>
    <row r="315" spans="1:14" x14ac:dyDescent="0.25">
      <c r="A315" s="11"/>
      <c r="N315" s="12"/>
    </row>
    <row r="316" spans="1:14" x14ac:dyDescent="0.25">
      <c r="A316" s="11"/>
      <c r="N316" s="12"/>
    </row>
    <row r="317" spans="1:14" x14ac:dyDescent="0.25">
      <c r="A317" s="11"/>
      <c r="N317" s="12"/>
    </row>
    <row r="318" spans="1:14" x14ac:dyDescent="0.25">
      <c r="A318" s="11"/>
      <c r="N318" s="12"/>
    </row>
    <row r="319" spans="1:14" x14ac:dyDescent="0.25">
      <c r="A319" s="11"/>
      <c r="N319" s="12"/>
    </row>
    <row r="320" spans="1:14" x14ac:dyDescent="0.25">
      <c r="A320" s="11"/>
      <c r="N320" s="12"/>
    </row>
    <row r="321" spans="1:14" x14ac:dyDescent="0.25">
      <c r="A321" s="11"/>
      <c r="N321" s="12"/>
    </row>
    <row r="322" spans="1:14" x14ac:dyDescent="0.25">
      <c r="A322" s="11"/>
      <c r="N322" s="12"/>
    </row>
    <row r="323" spans="1:14" x14ac:dyDescent="0.25">
      <c r="A323" s="11"/>
      <c r="N323" s="12"/>
    </row>
    <row r="324" spans="1:14" x14ac:dyDescent="0.25">
      <c r="A324" s="11"/>
      <c r="N324" s="12"/>
    </row>
    <row r="325" spans="1:14" x14ac:dyDescent="0.25">
      <c r="A325" s="11"/>
      <c r="N325" s="12"/>
    </row>
    <row r="326" spans="1:14" ht="15.75" thickBot="1" x14ac:dyDescent="0.3">
      <c r="A326" s="15"/>
      <c r="B326" s="16"/>
      <c r="C326" s="16"/>
      <c r="D326" s="16"/>
      <c r="E326" s="16"/>
      <c r="F326" s="16"/>
      <c r="G326" s="16"/>
      <c r="H326" s="16"/>
      <c r="I326" s="16"/>
      <c r="J326" s="16"/>
      <c r="K326" s="16"/>
      <c r="L326" s="16"/>
      <c r="M326" s="16"/>
      <c r="N326" s="17"/>
    </row>
  </sheetData>
  <mergeCells count="8">
    <mergeCell ref="A2:L2"/>
    <mergeCell ref="A195:N195"/>
    <mergeCell ref="A243:N243"/>
    <mergeCell ref="A285:N285"/>
    <mergeCell ref="A48:L48"/>
    <mergeCell ref="A78:N78"/>
    <mergeCell ref="A117:N117"/>
    <mergeCell ref="A156:N156"/>
  </mergeCells>
  <phoneticPr fontId="1" type="noConversion"/>
  <conditionalFormatting sqref="A1:XFD1">
    <cfRule type="containsText" dxfId="79" priority="1" operator="containsText" text="REC: ">
      <formula>NOT(ISERROR(SEARCH("REC: ",A1)))</formula>
    </cfRule>
    <cfRule type="containsText" dxfId="78" priority="2" operator="containsText" text="MKT: ">
      <formula>NOT(ISERROR(SEARCH("MKT: ",A1)))</formula>
    </cfRule>
  </conditionalFormatting>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647CD-1A34-42E6-9F2B-409E84CE0A97}">
  <dimension ref="A1:Q34"/>
  <sheetViews>
    <sheetView zoomScale="110" zoomScaleNormal="110" workbookViewId="0">
      <pane xSplit="2" topLeftCell="C1" activePane="topRight" state="frozen"/>
      <selection pane="topRight"/>
    </sheetView>
  </sheetViews>
  <sheetFormatPr defaultRowHeight="15" x14ac:dyDescent="0.25"/>
  <cols>
    <col min="1" max="1" width="27.42578125" style="45" customWidth="1"/>
    <col min="2" max="2" width="71.5703125" style="45" bestFit="1" customWidth="1"/>
    <col min="3" max="3" width="13" style="46" customWidth="1"/>
    <col min="4" max="4" width="15.140625" style="46" bestFit="1" customWidth="1"/>
    <col min="5" max="5" width="17.140625" style="45" customWidth="1"/>
    <col min="6" max="6" width="29" style="45" bestFit="1" customWidth="1"/>
    <col min="7" max="7" width="28.140625" style="45" bestFit="1" customWidth="1"/>
    <col min="8" max="8" width="44.42578125" style="45" bestFit="1" customWidth="1"/>
    <col min="9" max="9" width="30.7109375" style="45" bestFit="1" customWidth="1"/>
    <col min="10" max="10" width="30.140625" style="45" bestFit="1" customWidth="1"/>
    <col min="11" max="11" width="35" style="45" bestFit="1" customWidth="1"/>
    <col min="12" max="12" width="45.28515625" style="45" customWidth="1"/>
    <col min="13" max="13" width="20.140625" style="45" customWidth="1"/>
    <col min="14" max="14" width="21.85546875" style="59" customWidth="1"/>
    <col min="15" max="15" width="42.140625" style="45" bestFit="1" customWidth="1"/>
    <col min="16" max="16" width="31.28515625" style="45" customWidth="1"/>
    <col min="17" max="17" width="22.42578125" style="45" customWidth="1"/>
    <col min="18" max="16384" width="9.140625" style="37"/>
  </cols>
  <sheetData>
    <row r="1" spans="1:17" ht="31.5" customHeight="1" x14ac:dyDescent="0.25">
      <c r="A1" s="49" t="s">
        <v>126</v>
      </c>
      <c r="B1" s="47" t="s">
        <v>108</v>
      </c>
      <c r="C1" s="50" t="s">
        <v>123</v>
      </c>
      <c r="D1" s="139" t="s">
        <v>221</v>
      </c>
      <c r="E1" s="48" t="s">
        <v>120</v>
      </c>
      <c r="F1" s="48" t="s">
        <v>160</v>
      </c>
      <c r="G1" s="47" t="s">
        <v>128</v>
      </c>
      <c r="H1" s="43" t="s">
        <v>134</v>
      </c>
      <c r="I1" s="43" t="s">
        <v>146</v>
      </c>
      <c r="J1" s="43" t="s">
        <v>147</v>
      </c>
      <c r="K1" s="43" t="s">
        <v>142</v>
      </c>
      <c r="L1" s="55" t="s">
        <v>156</v>
      </c>
      <c r="M1" s="55" t="s">
        <v>143</v>
      </c>
      <c r="N1" s="55" t="s">
        <v>157</v>
      </c>
      <c r="O1" s="138" t="s">
        <v>216</v>
      </c>
      <c r="P1" s="138" t="s">
        <v>217</v>
      </c>
      <c r="Q1" s="138" t="s">
        <v>218</v>
      </c>
    </row>
    <row r="2" spans="1:17" x14ac:dyDescent="0.25">
      <c r="A2" s="44" t="s">
        <v>127</v>
      </c>
      <c r="B2" s="56" t="s">
        <v>109</v>
      </c>
      <c r="C2" s="46">
        <v>45688</v>
      </c>
      <c r="D2" s="46" t="s">
        <v>222</v>
      </c>
      <c r="E2" s="45" t="s">
        <v>122</v>
      </c>
      <c r="F2" s="45" t="s">
        <v>165</v>
      </c>
      <c r="G2" s="45" t="s">
        <v>130</v>
      </c>
      <c r="H2" s="45" t="s">
        <v>9</v>
      </c>
      <c r="I2" s="45" t="s">
        <v>144</v>
      </c>
      <c r="J2" s="45" t="s">
        <v>144</v>
      </c>
      <c r="K2" s="45" t="s">
        <v>152</v>
      </c>
      <c r="L2" s="45">
        <v>200</v>
      </c>
      <c r="M2" s="62">
        <v>400</v>
      </c>
      <c r="N2" s="62">
        <v>400</v>
      </c>
    </row>
    <row r="3" spans="1:17" x14ac:dyDescent="0.25">
      <c r="A3" s="89" t="s">
        <v>127</v>
      </c>
      <c r="B3" s="137" t="s">
        <v>210</v>
      </c>
      <c r="C3" s="91">
        <v>45693</v>
      </c>
      <c r="D3" s="91" t="s">
        <v>223</v>
      </c>
      <c r="E3" s="92" t="s">
        <v>121</v>
      </c>
      <c r="F3" s="92"/>
      <c r="G3" s="92" t="s">
        <v>130</v>
      </c>
      <c r="H3" s="92" t="s">
        <v>133</v>
      </c>
      <c r="I3" s="92"/>
      <c r="J3" s="92" t="s">
        <v>149</v>
      </c>
      <c r="K3" s="92" t="s">
        <v>153</v>
      </c>
      <c r="L3" s="92" t="s">
        <v>152</v>
      </c>
      <c r="M3" s="134">
        <v>1520</v>
      </c>
      <c r="N3" s="133">
        <v>1520</v>
      </c>
      <c r="O3" s="92"/>
      <c r="P3" s="92"/>
      <c r="Q3" s="92"/>
    </row>
    <row r="4" spans="1:17" x14ac:dyDescent="0.25">
      <c r="A4" s="44" t="s">
        <v>137</v>
      </c>
      <c r="B4" s="56" t="s">
        <v>158</v>
      </c>
      <c r="C4" s="46">
        <v>45708</v>
      </c>
      <c r="D4" s="46" t="s">
        <v>224</v>
      </c>
      <c r="E4" s="45" t="s">
        <v>122</v>
      </c>
      <c r="G4" s="45" t="s">
        <v>129</v>
      </c>
      <c r="H4" s="45" t="s">
        <v>136</v>
      </c>
      <c r="I4" s="45" t="s">
        <v>151</v>
      </c>
      <c r="J4" s="45" t="s">
        <v>151</v>
      </c>
      <c r="K4" s="45">
        <v>40</v>
      </c>
      <c r="L4" s="45" t="s">
        <v>152</v>
      </c>
      <c r="M4" s="45" t="s">
        <v>155</v>
      </c>
      <c r="N4" s="63">
        <v>100</v>
      </c>
    </row>
    <row r="5" spans="1:17" x14ac:dyDescent="0.25">
      <c r="A5" s="89" t="s">
        <v>137</v>
      </c>
      <c r="B5" s="137" t="s">
        <v>213</v>
      </c>
      <c r="C5" s="91">
        <v>45708</v>
      </c>
      <c r="D5" s="91" t="s">
        <v>224</v>
      </c>
      <c r="E5" s="92" t="s">
        <v>121</v>
      </c>
      <c r="F5" s="92"/>
      <c r="G5" s="92" t="s">
        <v>130</v>
      </c>
      <c r="H5" s="92" t="s">
        <v>132</v>
      </c>
      <c r="I5" s="92"/>
      <c r="J5" s="92" t="s">
        <v>149</v>
      </c>
      <c r="K5" s="92" t="s">
        <v>153</v>
      </c>
      <c r="L5" s="92" t="s">
        <v>152</v>
      </c>
      <c r="M5" s="92" t="s">
        <v>214</v>
      </c>
      <c r="N5" s="93" t="s">
        <v>214</v>
      </c>
      <c r="O5" s="92"/>
      <c r="P5" s="92"/>
      <c r="Q5" s="92"/>
    </row>
    <row r="6" spans="1:17" x14ac:dyDescent="0.25">
      <c r="A6" s="44" t="s">
        <v>137</v>
      </c>
      <c r="B6" s="56" t="s">
        <v>159</v>
      </c>
      <c r="C6" s="46">
        <v>45719</v>
      </c>
      <c r="D6" s="46" t="s">
        <v>224</v>
      </c>
      <c r="E6" s="45" t="s">
        <v>122</v>
      </c>
      <c r="G6" s="45" t="s">
        <v>48</v>
      </c>
      <c r="H6" s="45" t="s">
        <v>136</v>
      </c>
      <c r="I6" s="45" t="s">
        <v>151</v>
      </c>
      <c r="J6" s="45" t="s">
        <v>151</v>
      </c>
      <c r="K6" s="45">
        <v>9</v>
      </c>
      <c r="L6" s="45" t="s">
        <v>152</v>
      </c>
      <c r="M6" s="45" t="s">
        <v>155</v>
      </c>
      <c r="N6" s="59" t="s">
        <v>155</v>
      </c>
    </row>
    <row r="7" spans="1:17" x14ac:dyDescent="0.25">
      <c r="A7" s="44" t="s">
        <v>127</v>
      </c>
      <c r="B7" s="56" t="s">
        <v>110</v>
      </c>
      <c r="C7" s="46">
        <v>45724</v>
      </c>
      <c r="D7" s="46" t="s">
        <v>222</v>
      </c>
      <c r="E7" s="45" t="s">
        <v>122</v>
      </c>
      <c r="F7" s="45" t="s">
        <v>163</v>
      </c>
      <c r="G7" s="45" t="s">
        <v>130</v>
      </c>
      <c r="H7" s="45" t="s">
        <v>132</v>
      </c>
      <c r="I7" s="45" t="s">
        <v>145</v>
      </c>
      <c r="J7" s="45" t="s">
        <v>144</v>
      </c>
      <c r="K7" s="45" t="s">
        <v>152</v>
      </c>
      <c r="L7" s="45">
        <v>200</v>
      </c>
      <c r="M7" s="65">
        <v>850</v>
      </c>
      <c r="N7" s="65">
        <v>850</v>
      </c>
    </row>
    <row r="8" spans="1:17" x14ac:dyDescent="0.25">
      <c r="A8" s="44" t="s">
        <v>127</v>
      </c>
      <c r="B8" s="56" t="s">
        <v>112</v>
      </c>
      <c r="C8" s="46">
        <v>45745</v>
      </c>
      <c r="D8" s="46" t="s">
        <v>224</v>
      </c>
      <c r="E8" s="45" t="s">
        <v>122</v>
      </c>
      <c r="G8" s="45" t="s">
        <v>129</v>
      </c>
      <c r="H8" s="45" t="s">
        <v>8</v>
      </c>
      <c r="I8" s="45" t="s">
        <v>148</v>
      </c>
      <c r="J8" s="45" t="s">
        <v>150</v>
      </c>
      <c r="K8" s="45" t="s">
        <v>154</v>
      </c>
      <c r="L8" s="58">
        <v>25000</v>
      </c>
      <c r="M8" s="45" t="s">
        <v>155</v>
      </c>
      <c r="N8" s="88" t="s">
        <v>155</v>
      </c>
    </row>
    <row r="9" spans="1:17" x14ac:dyDescent="0.25">
      <c r="A9" s="89" t="s">
        <v>127</v>
      </c>
      <c r="B9" s="90" t="s">
        <v>111</v>
      </c>
      <c r="C9" s="91">
        <v>45750</v>
      </c>
      <c r="D9" s="91" t="s">
        <v>223</v>
      </c>
      <c r="E9" s="92" t="s">
        <v>121</v>
      </c>
      <c r="F9" s="92"/>
      <c r="G9" s="92" t="s">
        <v>130</v>
      </c>
      <c r="H9" s="92" t="s">
        <v>9</v>
      </c>
      <c r="I9" s="92" t="s">
        <v>148</v>
      </c>
      <c r="J9" s="92" t="s">
        <v>149</v>
      </c>
      <c r="K9" s="92" t="s">
        <v>153</v>
      </c>
      <c r="L9" s="92">
        <v>200</v>
      </c>
      <c r="M9" s="134">
        <v>985</v>
      </c>
      <c r="N9" s="133">
        <v>2300</v>
      </c>
      <c r="O9" s="92"/>
      <c r="P9" s="92"/>
      <c r="Q9" s="92"/>
    </row>
    <row r="10" spans="1:17" x14ac:dyDescent="0.25">
      <c r="A10" s="44" t="s">
        <v>137</v>
      </c>
      <c r="B10" s="56" t="s">
        <v>138</v>
      </c>
      <c r="C10" s="46">
        <v>45751</v>
      </c>
      <c r="D10" s="46" t="s">
        <v>225</v>
      </c>
      <c r="E10" s="45" t="s">
        <v>122</v>
      </c>
      <c r="F10" s="45" t="s">
        <v>215</v>
      </c>
      <c r="G10" s="45" t="s">
        <v>131</v>
      </c>
      <c r="H10" s="45" t="s">
        <v>136</v>
      </c>
      <c r="I10" s="45" t="s">
        <v>151</v>
      </c>
      <c r="J10" s="45" t="s">
        <v>131</v>
      </c>
      <c r="K10" s="45" t="s">
        <v>131</v>
      </c>
      <c r="L10" s="45" t="s">
        <v>152</v>
      </c>
      <c r="M10" s="65" t="s">
        <v>155</v>
      </c>
      <c r="N10" s="66">
        <v>285</v>
      </c>
    </row>
    <row r="11" spans="1:17" x14ac:dyDescent="0.25">
      <c r="A11" s="44" t="s">
        <v>137</v>
      </c>
      <c r="B11" s="56" t="s">
        <v>135</v>
      </c>
      <c r="C11" s="46">
        <v>45755</v>
      </c>
      <c r="D11" s="46" t="s">
        <v>226</v>
      </c>
      <c r="E11" s="45" t="s">
        <v>122</v>
      </c>
      <c r="F11" s="45" t="s">
        <v>215</v>
      </c>
      <c r="G11" s="45" t="s">
        <v>131</v>
      </c>
      <c r="H11" s="45" t="s">
        <v>136</v>
      </c>
      <c r="I11" s="45" t="s">
        <v>151</v>
      </c>
      <c r="J11" s="45" t="s">
        <v>131</v>
      </c>
      <c r="K11" s="45" t="s">
        <v>131</v>
      </c>
      <c r="L11" s="45" t="s">
        <v>152</v>
      </c>
      <c r="M11" s="65">
        <v>50</v>
      </c>
      <c r="N11" s="66">
        <v>335</v>
      </c>
    </row>
    <row r="12" spans="1:17" x14ac:dyDescent="0.25">
      <c r="A12" s="89" t="s">
        <v>127</v>
      </c>
      <c r="B12" s="90" t="s">
        <v>113</v>
      </c>
      <c r="C12" s="91">
        <v>45756</v>
      </c>
      <c r="D12" s="91" t="s">
        <v>227</v>
      </c>
      <c r="E12" s="92" t="s">
        <v>121</v>
      </c>
      <c r="F12" s="92"/>
      <c r="G12" s="92" t="s">
        <v>130</v>
      </c>
      <c r="H12" s="92" t="s">
        <v>132</v>
      </c>
      <c r="I12" s="92" t="s">
        <v>148</v>
      </c>
      <c r="J12" s="92" t="s">
        <v>149</v>
      </c>
      <c r="K12" s="92" t="s">
        <v>153</v>
      </c>
      <c r="L12" s="92" t="s">
        <v>152</v>
      </c>
      <c r="M12" s="134">
        <v>1025</v>
      </c>
      <c r="N12" s="133">
        <v>1025</v>
      </c>
      <c r="O12" s="92"/>
      <c r="P12" s="92"/>
      <c r="Q12" s="92"/>
    </row>
    <row r="13" spans="1:17" x14ac:dyDescent="0.25">
      <c r="A13" s="44" t="s">
        <v>127</v>
      </c>
      <c r="B13" s="82" t="s">
        <v>181</v>
      </c>
      <c r="C13" s="46">
        <v>45756</v>
      </c>
      <c r="D13" s="46" t="s">
        <v>222</v>
      </c>
      <c r="E13" s="45" t="s">
        <v>122</v>
      </c>
      <c r="F13" s="45" t="s">
        <v>182</v>
      </c>
      <c r="G13" s="45" t="s">
        <v>129</v>
      </c>
      <c r="H13" s="45" t="s">
        <v>12</v>
      </c>
      <c r="I13" s="45" t="s">
        <v>148</v>
      </c>
      <c r="J13" s="45" t="s">
        <v>183</v>
      </c>
      <c r="K13" s="45" t="s">
        <v>154</v>
      </c>
      <c r="L13" s="45" t="s">
        <v>152</v>
      </c>
      <c r="M13" s="87">
        <v>27500</v>
      </c>
      <c r="N13" s="88">
        <v>15500</v>
      </c>
    </row>
    <row r="14" spans="1:17" x14ac:dyDescent="0.25">
      <c r="A14" s="44" t="s">
        <v>127</v>
      </c>
      <c r="B14" s="82" t="s">
        <v>181</v>
      </c>
      <c r="C14" s="46">
        <v>45756</v>
      </c>
      <c r="D14" s="46" t="s">
        <v>222</v>
      </c>
      <c r="E14" s="45" t="s">
        <v>122</v>
      </c>
      <c r="F14" s="45" t="s">
        <v>182</v>
      </c>
      <c r="G14" s="45" t="s">
        <v>129</v>
      </c>
      <c r="H14" s="45" t="s">
        <v>10</v>
      </c>
      <c r="I14" s="45" t="s">
        <v>148</v>
      </c>
      <c r="J14" s="45" t="s">
        <v>183</v>
      </c>
      <c r="K14" s="45" t="s">
        <v>154</v>
      </c>
      <c r="L14" s="45" t="s">
        <v>152</v>
      </c>
      <c r="M14" s="87">
        <v>27500</v>
      </c>
      <c r="N14" s="88">
        <v>8000</v>
      </c>
    </row>
    <row r="15" spans="1:17" x14ac:dyDescent="0.25">
      <c r="A15" s="44" t="s">
        <v>127</v>
      </c>
      <c r="B15" s="82" t="s">
        <v>181</v>
      </c>
      <c r="C15" s="46">
        <v>45756</v>
      </c>
      <c r="D15" s="46" t="s">
        <v>222</v>
      </c>
      <c r="E15" s="45" t="s">
        <v>122</v>
      </c>
      <c r="F15" s="45" t="s">
        <v>182</v>
      </c>
      <c r="G15" s="45" t="s">
        <v>129</v>
      </c>
      <c r="H15" s="45" t="s">
        <v>9</v>
      </c>
      <c r="I15" s="45" t="s">
        <v>148</v>
      </c>
      <c r="J15" s="45" t="s">
        <v>184</v>
      </c>
      <c r="K15" s="45" t="s">
        <v>154</v>
      </c>
      <c r="L15" s="45" t="s">
        <v>152</v>
      </c>
      <c r="M15" s="87">
        <v>27500</v>
      </c>
      <c r="N15" s="88">
        <v>4000</v>
      </c>
    </row>
    <row r="16" spans="1:17" x14ac:dyDescent="0.25">
      <c r="A16" s="89" t="s">
        <v>127</v>
      </c>
      <c r="B16" s="137" t="s">
        <v>203</v>
      </c>
      <c r="C16" s="91">
        <v>45757</v>
      </c>
      <c r="D16" s="91" t="s">
        <v>228</v>
      </c>
      <c r="E16" s="92" t="s">
        <v>121</v>
      </c>
      <c r="F16" s="92"/>
      <c r="G16" s="92" t="s">
        <v>130</v>
      </c>
      <c r="H16" s="92" t="s">
        <v>174</v>
      </c>
      <c r="I16" s="92" t="s">
        <v>148</v>
      </c>
      <c r="J16" s="92" t="s">
        <v>149</v>
      </c>
      <c r="K16" s="92" t="s">
        <v>153</v>
      </c>
      <c r="L16" s="92" t="s">
        <v>152</v>
      </c>
      <c r="M16" s="134">
        <v>425</v>
      </c>
      <c r="N16" s="133">
        <v>425</v>
      </c>
      <c r="O16" s="92"/>
      <c r="P16" s="92"/>
      <c r="Q16" s="92"/>
    </row>
    <row r="17" spans="1:17" x14ac:dyDescent="0.25">
      <c r="A17" s="44" t="s">
        <v>137</v>
      </c>
      <c r="B17" s="56" t="s">
        <v>139</v>
      </c>
      <c r="C17" s="46">
        <v>45758</v>
      </c>
      <c r="D17" s="46" t="s">
        <v>229</v>
      </c>
      <c r="E17" s="45" t="s">
        <v>122</v>
      </c>
      <c r="F17" s="45" t="s">
        <v>215</v>
      </c>
      <c r="G17" s="45" t="s">
        <v>131</v>
      </c>
      <c r="H17" s="45" t="s">
        <v>136</v>
      </c>
      <c r="I17" s="45" t="s">
        <v>151</v>
      </c>
      <c r="J17" s="45" t="s">
        <v>131</v>
      </c>
      <c r="K17" s="45" t="s">
        <v>131</v>
      </c>
      <c r="L17" s="45" t="s">
        <v>152</v>
      </c>
      <c r="M17" s="82" t="s">
        <v>155</v>
      </c>
      <c r="N17" s="66">
        <v>285</v>
      </c>
    </row>
    <row r="18" spans="1:17" x14ac:dyDescent="0.25">
      <c r="A18" s="44" t="s">
        <v>127</v>
      </c>
      <c r="B18" s="56" t="s">
        <v>114</v>
      </c>
      <c r="C18" s="46">
        <v>45769</v>
      </c>
      <c r="D18" s="46" t="s">
        <v>230</v>
      </c>
      <c r="E18" s="45" t="s">
        <v>122</v>
      </c>
      <c r="F18" s="45" t="s">
        <v>161</v>
      </c>
      <c r="G18" s="45" t="s">
        <v>131</v>
      </c>
      <c r="H18" s="45" t="s">
        <v>9</v>
      </c>
      <c r="I18" s="45" t="s">
        <v>148</v>
      </c>
      <c r="J18" s="45" t="s">
        <v>165</v>
      </c>
      <c r="K18" s="45" t="s">
        <v>131</v>
      </c>
      <c r="L18" s="45">
        <v>700</v>
      </c>
      <c r="M18" s="65">
        <v>2290</v>
      </c>
      <c r="N18" s="66">
        <v>4198</v>
      </c>
    </row>
    <row r="19" spans="1:17" x14ac:dyDescent="0.25">
      <c r="A19" s="89" t="s">
        <v>137</v>
      </c>
      <c r="B19" s="137" t="s">
        <v>211</v>
      </c>
      <c r="C19" s="91">
        <v>45775</v>
      </c>
      <c r="D19" s="91" t="s">
        <v>231</v>
      </c>
      <c r="E19" s="92" t="s">
        <v>121</v>
      </c>
      <c r="F19" s="92"/>
      <c r="G19" s="92" t="s">
        <v>130</v>
      </c>
      <c r="H19" s="92" t="s">
        <v>212</v>
      </c>
      <c r="I19" s="92"/>
      <c r="J19" s="92" t="s">
        <v>149</v>
      </c>
      <c r="K19" s="92" t="s">
        <v>153</v>
      </c>
      <c r="L19" s="92">
        <v>500</v>
      </c>
      <c r="M19" s="134">
        <v>275</v>
      </c>
      <c r="N19" s="133">
        <v>275</v>
      </c>
      <c r="O19" s="92"/>
      <c r="P19" s="92"/>
      <c r="Q19" s="92"/>
    </row>
    <row r="20" spans="1:17" x14ac:dyDescent="0.25">
      <c r="A20" s="44" t="s">
        <v>127</v>
      </c>
      <c r="B20" s="56" t="s">
        <v>115</v>
      </c>
      <c r="C20" s="46">
        <v>45779</v>
      </c>
      <c r="D20" s="46" t="s">
        <v>222</v>
      </c>
      <c r="E20" s="45" t="s">
        <v>122</v>
      </c>
      <c r="F20" s="45" t="s">
        <v>164</v>
      </c>
      <c r="G20" s="45" t="s">
        <v>131</v>
      </c>
      <c r="H20" s="45" t="s">
        <v>174</v>
      </c>
      <c r="I20" s="45" t="s">
        <v>148</v>
      </c>
      <c r="J20" s="45" t="s">
        <v>131</v>
      </c>
      <c r="K20" s="45" t="s">
        <v>131</v>
      </c>
      <c r="L20" s="45">
        <v>250</v>
      </c>
      <c r="M20" s="87">
        <v>1750</v>
      </c>
      <c r="N20" s="66">
        <v>1750</v>
      </c>
    </row>
    <row r="21" spans="1:17" x14ac:dyDescent="0.25">
      <c r="A21" s="44" t="s">
        <v>127</v>
      </c>
      <c r="B21" s="56" t="s">
        <v>115</v>
      </c>
      <c r="C21" s="46">
        <v>45779</v>
      </c>
      <c r="D21" s="46" t="s">
        <v>222</v>
      </c>
      <c r="E21" s="45" t="s">
        <v>122</v>
      </c>
      <c r="F21" s="45" t="s">
        <v>164</v>
      </c>
      <c r="G21" s="45" t="s">
        <v>131</v>
      </c>
      <c r="H21" s="45" t="s">
        <v>12</v>
      </c>
      <c r="I21" s="45" t="s">
        <v>148</v>
      </c>
      <c r="J21" s="45" t="s">
        <v>131</v>
      </c>
      <c r="K21" s="45" t="s">
        <v>131</v>
      </c>
      <c r="L21" s="45">
        <v>250</v>
      </c>
      <c r="M21" s="87">
        <v>1750</v>
      </c>
      <c r="N21" s="66">
        <v>1750</v>
      </c>
    </row>
    <row r="22" spans="1:17" x14ac:dyDescent="0.25">
      <c r="A22" s="44" t="s">
        <v>127</v>
      </c>
      <c r="B22" s="56" t="s">
        <v>116</v>
      </c>
      <c r="C22" s="46">
        <v>45793</v>
      </c>
      <c r="D22" s="46" t="s">
        <v>232</v>
      </c>
      <c r="E22" s="45" t="s">
        <v>122</v>
      </c>
      <c r="F22" s="45" t="s">
        <v>220</v>
      </c>
      <c r="G22" s="45" t="s">
        <v>131</v>
      </c>
      <c r="H22" s="45" t="s">
        <v>9</v>
      </c>
      <c r="I22" s="45" t="s">
        <v>148</v>
      </c>
      <c r="J22" s="45" t="s">
        <v>219</v>
      </c>
      <c r="K22" s="45" t="s">
        <v>131</v>
      </c>
      <c r="L22" s="45" t="s">
        <v>152</v>
      </c>
      <c r="M22" s="87">
        <v>175</v>
      </c>
      <c r="N22" s="87">
        <v>175</v>
      </c>
    </row>
    <row r="23" spans="1:17" x14ac:dyDescent="0.25">
      <c r="A23" s="44" t="s">
        <v>127</v>
      </c>
      <c r="B23" s="82" t="s">
        <v>205</v>
      </c>
      <c r="C23" s="46">
        <v>45796</v>
      </c>
      <c r="D23" s="46" t="s">
        <v>233</v>
      </c>
      <c r="E23" s="45" t="s">
        <v>122</v>
      </c>
      <c r="F23" s="45" t="s">
        <v>245</v>
      </c>
      <c r="G23" s="45" t="s">
        <v>131</v>
      </c>
      <c r="H23" s="45" t="s">
        <v>206</v>
      </c>
      <c r="I23" s="45" t="s">
        <v>246</v>
      </c>
      <c r="J23" s="45" t="s">
        <v>131</v>
      </c>
      <c r="K23" s="45" t="s">
        <v>131</v>
      </c>
      <c r="L23" s="45">
        <v>600</v>
      </c>
      <c r="M23" s="87">
        <v>2600</v>
      </c>
      <c r="N23" s="88">
        <v>2600</v>
      </c>
    </row>
    <row r="24" spans="1:17" x14ac:dyDescent="0.25">
      <c r="A24" s="52" t="s">
        <v>127</v>
      </c>
      <c r="B24" s="135" t="s">
        <v>208</v>
      </c>
      <c r="C24" s="53">
        <v>45818</v>
      </c>
      <c r="D24" s="53" t="s">
        <v>234</v>
      </c>
      <c r="E24" s="51" t="s">
        <v>125</v>
      </c>
      <c r="F24" s="51"/>
      <c r="G24" s="51" t="s">
        <v>131</v>
      </c>
      <c r="H24" s="51" t="s">
        <v>133</v>
      </c>
      <c r="I24" s="51"/>
      <c r="J24" s="51" t="s">
        <v>131</v>
      </c>
      <c r="K24" s="51" t="s">
        <v>131</v>
      </c>
      <c r="L24" s="51">
        <v>500</v>
      </c>
      <c r="M24" s="95">
        <v>325</v>
      </c>
      <c r="N24" s="132">
        <v>325</v>
      </c>
      <c r="O24" s="51"/>
      <c r="P24" s="51"/>
      <c r="Q24" s="51"/>
    </row>
    <row r="25" spans="1:17" x14ac:dyDescent="0.25">
      <c r="A25" s="44" t="s">
        <v>127</v>
      </c>
      <c r="B25" s="82" t="s">
        <v>201</v>
      </c>
      <c r="C25" s="46">
        <v>45824</v>
      </c>
      <c r="D25" s="46" t="s">
        <v>235</v>
      </c>
      <c r="E25" s="45" t="s">
        <v>122</v>
      </c>
      <c r="F25" s="45" t="s">
        <v>242</v>
      </c>
      <c r="G25" s="45" t="s">
        <v>131</v>
      </c>
      <c r="H25" s="45" t="s">
        <v>132</v>
      </c>
      <c r="I25" s="45" t="s">
        <v>202</v>
      </c>
      <c r="J25" s="45" t="s">
        <v>241</v>
      </c>
      <c r="K25" s="45" t="s">
        <v>131</v>
      </c>
      <c r="L25" s="45" t="s">
        <v>152</v>
      </c>
      <c r="M25" s="87">
        <v>2550</v>
      </c>
      <c r="N25" s="88">
        <v>2550</v>
      </c>
    </row>
    <row r="26" spans="1:17" x14ac:dyDescent="0.25">
      <c r="A26" s="52" t="s">
        <v>127</v>
      </c>
      <c r="B26" s="135" t="s">
        <v>207</v>
      </c>
      <c r="C26" s="53">
        <v>45825</v>
      </c>
      <c r="D26" s="53" t="s">
        <v>236</v>
      </c>
      <c r="E26" s="51" t="s">
        <v>125</v>
      </c>
      <c r="F26" s="51"/>
      <c r="G26" s="51" t="s">
        <v>131</v>
      </c>
      <c r="H26" s="51" t="s">
        <v>133</v>
      </c>
      <c r="I26" s="51"/>
      <c r="J26" s="51" t="s">
        <v>131</v>
      </c>
      <c r="K26" s="51" t="s">
        <v>131</v>
      </c>
      <c r="L26" s="136">
        <v>4500</v>
      </c>
      <c r="M26" s="95">
        <v>799</v>
      </c>
      <c r="N26" s="95">
        <v>799</v>
      </c>
      <c r="O26" s="51"/>
      <c r="P26" s="51"/>
      <c r="Q26" s="51"/>
    </row>
    <row r="27" spans="1:17" x14ac:dyDescent="0.25">
      <c r="A27" s="44" t="s">
        <v>127</v>
      </c>
      <c r="B27" s="56" t="s">
        <v>193</v>
      </c>
      <c r="C27" s="46">
        <v>45833</v>
      </c>
      <c r="D27" s="46" t="s">
        <v>226</v>
      </c>
      <c r="E27" s="45" t="s">
        <v>122</v>
      </c>
      <c r="F27" s="45" t="s">
        <v>247</v>
      </c>
      <c r="G27" s="45" t="s">
        <v>131</v>
      </c>
      <c r="H27" s="45" t="s">
        <v>174</v>
      </c>
      <c r="I27" s="45" t="s">
        <v>148</v>
      </c>
      <c r="J27" s="45" t="s">
        <v>131</v>
      </c>
      <c r="K27" s="45" t="s">
        <v>131</v>
      </c>
      <c r="L27" s="45">
        <v>150</v>
      </c>
      <c r="M27" s="87">
        <v>2500</v>
      </c>
      <c r="N27" s="88">
        <v>2500</v>
      </c>
    </row>
    <row r="28" spans="1:17" x14ac:dyDescent="0.25">
      <c r="A28" s="52" t="s">
        <v>127</v>
      </c>
      <c r="B28" s="135" t="s">
        <v>209</v>
      </c>
      <c r="C28" s="53">
        <v>45869</v>
      </c>
      <c r="D28" s="53" t="s">
        <v>224</v>
      </c>
      <c r="E28" s="51" t="s">
        <v>125</v>
      </c>
      <c r="F28" s="51"/>
      <c r="G28" s="51" t="s">
        <v>131</v>
      </c>
      <c r="H28" s="51" t="s">
        <v>132</v>
      </c>
      <c r="I28" s="51"/>
      <c r="J28" s="51" t="s">
        <v>131</v>
      </c>
      <c r="K28" s="51" t="s">
        <v>131</v>
      </c>
      <c r="L28" s="51" t="s">
        <v>152</v>
      </c>
      <c r="M28" s="95">
        <v>809</v>
      </c>
      <c r="N28" s="132">
        <v>809</v>
      </c>
      <c r="O28" s="51"/>
      <c r="P28" s="51"/>
      <c r="Q28" s="51"/>
    </row>
    <row r="29" spans="1:17" x14ac:dyDescent="0.25">
      <c r="A29" s="52" t="s">
        <v>127</v>
      </c>
      <c r="B29" s="135" t="s">
        <v>204</v>
      </c>
      <c r="C29" s="53">
        <v>45923</v>
      </c>
      <c r="D29" s="53" t="s">
        <v>228</v>
      </c>
      <c r="E29" s="51" t="s">
        <v>125</v>
      </c>
      <c r="F29" s="51"/>
      <c r="G29" s="51" t="s">
        <v>131</v>
      </c>
      <c r="H29" s="51" t="s">
        <v>174</v>
      </c>
      <c r="I29" s="51" t="s">
        <v>151</v>
      </c>
      <c r="J29" s="51" t="s">
        <v>131</v>
      </c>
      <c r="K29" s="51" t="s">
        <v>131</v>
      </c>
      <c r="L29" s="51" t="s">
        <v>152</v>
      </c>
      <c r="M29" s="95">
        <v>3000</v>
      </c>
      <c r="N29" s="132">
        <v>3000</v>
      </c>
      <c r="O29" s="51"/>
      <c r="P29" s="51"/>
      <c r="Q29" s="51"/>
    </row>
    <row r="30" spans="1:17" x14ac:dyDescent="0.25">
      <c r="A30" s="52" t="s">
        <v>127</v>
      </c>
      <c r="B30" s="57" t="s">
        <v>117</v>
      </c>
      <c r="C30" s="53">
        <v>45931</v>
      </c>
      <c r="D30" s="53" t="s">
        <v>237</v>
      </c>
      <c r="E30" s="51" t="s">
        <v>125</v>
      </c>
      <c r="F30" s="51" t="s">
        <v>244</v>
      </c>
      <c r="G30" s="51" t="s">
        <v>131</v>
      </c>
      <c r="H30" s="51" t="s">
        <v>133</v>
      </c>
      <c r="I30" s="51" t="s">
        <v>148</v>
      </c>
      <c r="J30" s="51" t="s">
        <v>131</v>
      </c>
      <c r="K30" s="51" t="s">
        <v>131</v>
      </c>
      <c r="L30" s="51">
        <v>100</v>
      </c>
      <c r="M30" s="51"/>
      <c r="N30" s="60"/>
      <c r="O30" s="51"/>
      <c r="P30" s="51"/>
      <c r="Q30" s="51"/>
    </row>
    <row r="31" spans="1:17" x14ac:dyDescent="0.25">
      <c r="A31" s="89" t="s">
        <v>127</v>
      </c>
      <c r="B31" s="90" t="s">
        <v>118</v>
      </c>
      <c r="C31" s="91">
        <v>45932</v>
      </c>
      <c r="D31" s="91" t="s">
        <v>237</v>
      </c>
      <c r="E31" s="92" t="s">
        <v>121</v>
      </c>
      <c r="F31" s="92"/>
      <c r="G31" s="92" t="s">
        <v>243</v>
      </c>
      <c r="H31" s="92" t="s">
        <v>9</v>
      </c>
      <c r="I31" s="92" t="s">
        <v>148</v>
      </c>
      <c r="J31" s="92" t="s">
        <v>149</v>
      </c>
      <c r="K31" s="92" t="s">
        <v>154</v>
      </c>
      <c r="L31" s="92">
        <v>150</v>
      </c>
      <c r="M31" s="92"/>
      <c r="N31" s="93"/>
      <c r="O31" s="92"/>
      <c r="P31" s="92"/>
      <c r="Q31" s="92"/>
    </row>
    <row r="32" spans="1:17" x14ac:dyDescent="0.25">
      <c r="A32" s="52" t="s">
        <v>127</v>
      </c>
      <c r="B32" s="57" t="s">
        <v>114</v>
      </c>
      <c r="C32" s="53">
        <v>45938</v>
      </c>
      <c r="D32" s="53" t="s">
        <v>238</v>
      </c>
      <c r="E32" s="51" t="s">
        <v>125</v>
      </c>
      <c r="F32" s="51" t="s">
        <v>161</v>
      </c>
      <c r="G32" s="51" t="s">
        <v>131</v>
      </c>
      <c r="H32" s="51" t="s">
        <v>9</v>
      </c>
      <c r="I32" s="51" t="s">
        <v>148</v>
      </c>
      <c r="J32" s="51" t="s">
        <v>131</v>
      </c>
      <c r="K32" s="51" t="s">
        <v>131</v>
      </c>
      <c r="L32" s="51">
        <v>700</v>
      </c>
      <c r="M32" s="51"/>
      <c r="N32" s="60"/>
      <c r="O32" s="51"/>
      <c r="P32" s="51"/>
      <c r="Q32" s="51"/>
    </row>
    <row r="33" spans="1:17" x14ac:dyDescent="0.25">
      <c r="A33" s="52" t="s">
        <v>127</v>
      </c>
      <c r="B33" s="57" t="s">
        <v>119</v>
      </c>
      <c r="C33" s="53">
        <v>45959</v>
      </c>
      <c r="D33" s="53" t="s">
        <v>240</v>
      </c>
      <c r="E33" s="51" t="s">
        <v>125</v>
      </c>
      <c r="F33" s="51" t="s">
        <v>162</v>
      </c>
      <c r="G33" s="51" t="s">
        <v>131</v>
      </c>
      <c r="H33" s="51" t="s">
        <v>132</v>
      </c>
      <c r="I33" s="51" t="s">
        <v>148</v>
      </c>
      <c r="J33" s="51" t="s">
        <v>131</v>
      </c>
      <c r="K33" s="51" t="s">
        <v>131</v>
      </c>
      <c r="L33" s="51" t="s">
        <v>152</v>
      </c>
      <c r="M33" s="51"/>
      <c r="N33" s="60"/>
      <c r="O33" s="51"/>
      <c r="P33" s="51"/>
      <c r="Q33" s="51"/>
    </row>
    <row r="34" spans="1:17" x14ac:dyDescent="0.25">
      <c r="A34" s="52" t="s">
        <v>127</v>
      </c>
      <c r="B34" s="135" t="s">
        <v>248</v>
      </c>
      <c r="C34" s="53">
        <v>45962</v>
      </c>
      <c r="D34" s="53" t="s">
        <v>224</v>
      </c>
      <c r="E34" s="51" t="s">
        <v>125</v>
      </c>
      <c r="F34" s="51"/>
      <c r="G34" s="51" t="s">
        <v>131</v>
      </c>
      <c r="H34" s="51" t="s">
        <v>132</v>
      </c>
      <c r="I34" s="51"/>
      <c r="J34" s="51" t="s">
        <v>131</v>
      </c>
      <c r="K34" s="51" t="s">
        <v>131</v>
      </c>
      <c r="L34" s="51" t="s">
        <v>152</v>
      </c>
      <c r="M34" s="51"/>
      <c r="N34" s="60"/>
      <c r="O34" s="51"/>
      <c r="P34" s="51"/>
      <c r="Q34" s="51"/>
    </row>
  </sheetData>
  <phoneticPr fontId="1" type="noConversion"/>
  <hyperlinks>
    <hyperlink ref="B2" location="'MKT Events'!A2" display="State of the State - The Hertel Report" xr:uid="{648B01FC-B28E-4E8C-82B6-375700B7A45C}"/>
    <hyperlink ref="B7" location="'MKT Events'!A41" display="ACMA AZ Chapter Event" xr:uid="{2285139C-3B5B-42C0-AD0B-6AAE6AB6A2A1}"/>
    <hyperlink ref="B9" location="'MKT Events'!A80" display="2025 National Conference Denver - ACMA" xr:uid="{FF9AD7B9-9312-4A44-AC84-B6CCA3FC879B}"/>
    <hyperlink ref="B8" location="'MKT Events'!A122" display="Phoenix Heart Walk" xr:uid="{EACC3D40-9379-4AC1-9FD0-01D1DCADFB59}"/>
    <hyperlink ref="B12" location="'MKT Events'!A163" display="Population Health Management Summit" xr:uid="{D4281DC8-3912-4A5E-B3CA-3B54CEBC5E0F}"/>
    <hyperlink ref="B18" location="'MKT Events'!A209" display="NAACOS - Accountable Care Organizations" xr:uid="{008989D5-B7C3-491B-BDA1-8EAB887F57AD}"/>
    <hyperlink ref="B20" location="'MKT Events'!A254" display="CMSA AZ Annual Conference" xr:uid="{11668484-3E07-4311-AA88-E30F08238AA8}"/>
    <hyperlink ref="B22" location="'MKT Events'!A296" display="OR ACHE Spring Conference" xr:uid="{2773B4E5-642A-4C45-88D7-1F7F2608BB8B}"/>
    <hyperlink ref="B30" location="'MKT Events'!A340" display="Hospital Association of OR 2025 Annual Member Meeting" xr:uid="{03113EA2-8A61-47CE-ABC7-4CD759D32C27}"/>
    <hyperlink ref="B31" location="'MKT Events'!A384" display="Oregon Geriatrics Society" xr:uid="{0CD9E57E-D2D5-4A69-B0CB-D3544FD0A5AD}"/>
    <hyperlink ref="B32" location="'MKT Events'!A428" display="NAACOS - Accountable Care Organizations" xr:uid="{77F7F4EF-A85D-4611-9D9B-ED50C38CFCA3}"/>
    <hyperlink ref="B33" location="'MKT Events'!A473" display="Annual Leadership Conference (AZHHA)" xr:uid="{E03260A3-1EAC-4B30-B2CC-DD023D942250}"/>
    <hyperlink ref="B11" location="'Recruiting Events'!A78" display="Gateway Community College OTA/PTA Career Fair" xr:uid="{EF319B40-F0E5-40EA-BA49-32666F0C00CC}"/>
    <hyperlink ref="B10" location="'Recruiting Events'!A117" display="EVIT Power Campus Career Fair" xr:uid="{14B85F12-E63F-41C0-B798-D3AFCBE50CB0}"/>
    <hyperlink ref="B17" location="'Recruiting Events'!A156" display="EVIT Mesa Main Campus Career Fair" xr:uid="{5A106960-FD29-45C3-B3DB-9F175C97B09B}"/>
    <hyperlink ref="B4" location="'Recruiting Events'!A2" display="AZ College of Nursing Job Fair" xr:uid="{72BC63E5-75F2-480F-9080-8DA056CB27A4}"/>
    <hyperlink ref="B6" location="'Recruiting Events'!A48" display="GCU Healthcare Career Fair" xr:uid="{EDD5A433-FA91-41EF-A096-201A1A6AFE8F}"/>
    <hyperlink ref="M2" location="'MKT Events'!A31" display="'MKT Events'!A31" xr:uid="{A84A0574-D32A-48AC-BF8C-15158EBFF75C}"/>
    <hyperlink ref="N2" location="'MKT Events'!A31" display="'MKT Events'!A31" xr:uid="{BE462955-BE35-401E-A05C-A19809E20F46}"/>
    <hyperlink ref="N4" location="'Recruiting Events'!A20" display="'Recruiting Events'!A20" xr:uid="{76FE1358-2A80-4250-B4DC-3446FBEEA630}"/>
    <hyperlink ref="M7" location="'MKT Events'!A70" display="'MKT Events'!A70" xr:uid="{47D1F205-CFB6-44E6-B31A-A303711727A8}"/>
    <hyperlink ref="N7" location="'MKT Events'!A70" display="'MKT Events'!A70" xr:uid="{50BCD9F5-708B-46D9-8789-004E63A7340B}"/>
    <hyperlink ref="M11" location="'Recruiting Events'!A107" display="'Recruiting Events'!A107" xr:uid="{48523460-5A06-4B3B-8DE8-ED9516D78785}"/>
    <hyperlink ref="N11" location="'Recruiting Events'!A107" display="'Recruiting Events'!A107" xr:uid="{DC7F959D-3A55-4132-88A0-A35735229448}"/>
    <hyperlink ref="N10" location="'Recruiting Events'!A146" display="'Recruiting Events'!A146" xr:uid="{F6D20D06-AA33-4C87-9A81-5EC01981F0BC}"/>
    <hyperlink ref="M10" location="'Recruiting Events'!A146" display="Free" xr:uid="{B7EB1ED6-05C8-459B-A150-E9E36C43F020}"/>
    <hyperlink ref="M17" location="'Recruiting Events'!A185" display="Free" xr:uid="{7AC17A12-E95B-4918-B555-4FAE725D6A7F}"/>
    <hyperlink ref="N17" location="'Recruiting Events'!A185" display="'Recruiting Events'!A185" xr:uid="{AD3CAE9B-56FC-41F2-85AE-639EAC475951}"/>
    <hyperlink ref="N18" location="'MKT Events'!A237" display="'MKT Events'!A237" xr:uid="{35F0E8BE-F53C-41DE-B498-FBAFDF83A09B}"/>
    <hyperlink ref="M18" location="'MKT Events'!A237" display="'MKT Events'!A237" xr:uid="{9621ABCB-3198-46A2-BDB9-BF1512508325}"/>
    <hyperlink ref="B21" location="'MKT Events'!A254" display="CMSA AZ Annual Conference" xr:uid="{7126909A-AC2B-4AD0-B0D8-01AB91A3589B}"/>
    <hyperlink ref="N21" location="'MKT Events'!A283" display="'MKT Events'!A283" xr:uid="{67D3EEC1-D964-4FE4-8ADE-317874D29581}"/>
    <hyperlink ref="N20" location="'MKT Events'!A283" display="'MKT Events'!A283" xr:uid="{7236F567-C96B-423C-B7DF-CB0599E79B35}"/>
    <hyperlink ref="B13" location="'MKT Events'!A518" display="2025 George Rozsa Golf Classic" xr:uid="{1F2AEE27-B548-4277-BCFC-11574E5F9E78}"/>
    <hyperlink ref="B14" location="'MKT Events'!A518" display="2025 George Rozsa Golf Classic" xr:uid="{16BB313B-8ACC-4DB8-B5A4-CDDDDFB873F7}"/>
    <hyperlink ref="B15" location="'MKT Events'!A518" display="2025 George Rozsa Golf Classic" xr:uid="{4E10B6FC-2A14-4B36-8487-2E38330E011E}"/>
    <hyperlink ref="B27" location="'MKT Events'!A563" display="Arizona Association for Home Care (AAHC) Conference Expo" xr:uid="{640B6FDA-712B-4902-9D18-C05965EBBAE5}"/>
    <hyperlink ref="B25" location="'MKT Events'!A605" display="Arizona Health Care Association (AHCA) Convention &amp; Expo" xr:uid="{E3DA9AF7-35F5-40E5-AD8A-75D429C4F762}"/>
    <hyperlink ref="B16" location="'MKT Events'!A647" display="32'nd Annual Internal Medicine Review" xr:uid="{D2B52D6C-63FD-4DD7-84E3-52C705E56FC8}"/>
    <hyperlink ref="B29" location="'MKT Events'!A690" display="Oregon Health Care Association (OHCA)" xr:uid="{3CE3C0B8-A7BF-4999-9DDE-1E8CA42145BE}"/>
    <hyperlink ref="B23" location="'MKT Events'!A734" display="Washington Health Care Association (WHCA) Annual Convention" xr:uid="{197AB4A8-E3FB-4637-8CE7-D3DABDE1D27D}"/>
    <hyperlink ref="B26" location="'MKT Events'!A782" display="2025 American Association of Nurse Practitioners (AANP) National Conference" xr:uid="{07474D23-A51D-4283-B24F-8F4CA1FB08FB}"/>
    <hyperlink ref="B24" location="'MKT Events'!A830" display="41st Annual Geriatric Care CNE Nursing Conference" xr:uid="{E232D146-177D-4400-90A0-A2130D73FF25}"/>
    <hyperlink ref="B28" location="'MKT Events'!A874" display="Association of Rehabilitation Nurses (ARN) Annual Conference" xr:uid="{0C318800-01C2-4A9D-A033-EA423170BC1A}"/>
    <hyperlink ref="B3" location="'MKT Events'!A923" display="Annual Assembly Hospice &amp; Palliative Care (AAHPM)" xr:uid="{BD3468F1-358E-4B83-9FDC-64EE419B355E}"/>
    <hyperlink ref="B19" location="'Recruiting Events'!A195" display="Seattle Nursing Research Workshop &amp; Conference" xr:uid="{B9CC1B16-4739-46C7-B678-07946169D2A2}"/>
    <hyperlink ref="B5" location="'Recruiting Events'!A243" display="University of Arizona Health Professions Expo" xr:uid="{39AEE2DC-AB63-4257-BF05-F744E08EF3A7}"/>
    <hyperlink ref="B34" location="'MKT Events'!A969" display="Banner Ball: A Celebration of Caring and Cures" xr:uid="{F826C601-531F-4F27-B121-F48F96297472}"/>
  </hyperlink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31D7D-3382-4924-B03D-5CAA61717F3D}">
  <dimension ref="A1:J1048576"/>
  <sheetViews>
    <sheetView workbookViewId="0">
      <pane ySplit="2" topLeftCell="A3" activePane="bottomLeft" state="frozen"/>
      <selection pane="bottomLeft" activeCell="D5" sqref="D5"/>
    </sheetView>
  </sheetViews>
  <sheetFormatPr defaultRowHeight="15" x14ac:dyDescent="0.25"/>
  <cols>
    <col min="1" max="1" width="53.7109375" style="67" bestFit="1" customWidth="1"/>
    <col min="2" max="2" width="25.5703125" style="69" bestFit="1" customWidth="1"/>
    <col min="3" max="3" width="19.5703125" style="70" customWidth="1"/>
    <col min="4" max="4" width="24.7109375" style="103" bestFit="1" customWidth="1"/>
    <col min="5" max="5" width="18.5703125" style="106" bestFit="1" customWidth="1"/>
    <col min="6" max="6" width="53.7109375" style="67" bestFit="1" customWidth="1"/>
    <col min="7" max="7" width="25.5703125" style="67" bestFit="1" customWidth="1"/>
    <col min="8" max="8" width="19.5703125" style="67" bestFit="1" customWidth="1"/>
    <col min="9" max="9" width="31.28515625" style="98" customWidth="1"/>
    <col min="10" max="16384" width="9.140625" style="10"/>
  </cols>
  <sheetData>
    <row r="1" spans="1:10" ht="33" customHeight="1" thickBot="1" x14ac:dyDescent="0.3">
      <c r="A1" s="10"/>
      <c r="B1" s="10"/>
      <c r="C1" s="81"/>
      <c r="D1" s="10" t="s">
        <v>197</v>
      </c>
      <c r="E1" s="10"/>
      <c r="F1" s="96"/>
      <c r="G1" s="96"/>
      <c r="H1" s="96"/>
      <c r="I1" s="80"/>
    </row>
    <row r="2" spans="1:10" s="78" customFormat="1" ht="21.75" thickBot="1" x14ac:dyDescent="0.4">
      <c r="A2" s="75" t="s">
        <v>108</v>
      </c>
      <c r="B2" s="76" t="s">
        <v>168</v>
      </c>
      <c r="C2" s="79" t="s">
        <v>167</v>
      </c>
      <c r="D2" s="131" t="s">
        <v>195</v>
      </c>
      <c r="E2" s="122"/>
      <c r="F2" s="109" t="s">
        <v>108</v>
      </c>
      <c r="G2" s="110" t="s">
        <v>168</v>
      </c>
      <c r="H2" s="111" t="s">
        <v>167</v>
      </c>
      <c r="I2" s="112" t="s">
        <v>196</v>
      </c>
      <c r="J2" s="116"/>
    </row>
    <row r="3" spans="1:10" x14ac:dyDescent="0.25">
      <c r="A3" s="72" t="str" cm="1">
        <f t="array" ref="A3:C11">_xlfn._xlws.FILTER(
  CHOOSE({1,2,3},
    Data!B2:B1000,
    Data!H2:H1000,
    Data!N2:N1000
  ),
  (ISNUMBER(SEARCH("Sante", Data!H2:H1000))) *
  (Data!E2:E1000="Approved")
)</f>
        <v>AZ College of Nursing Job Fair</v>
      </c>
      <c r="B3" s="73" t="str">
        <v>Sante / Aleca</v>
      </c>
      <c r="C3" s="74">
        <v>100</v>
      </c>
      <c r="D3" s="99" cm="1">
        <f t="array" ref="D3">IFERROR(
  VALUE(C3) / COUNTA(_xlfn.FILTERXML("&lt;t&gt;&lt;s&gt;" &amp; SUBSTITUTE(B3, " / ", "&lt;/s&gt;&lt;s&gt;") &amp; "&lt;/s&gt;&lt;/t&gt;", "//s")),
  0
)</f>
        <v>50</v>
      </c>
      <c r="E3" s="105"/>
      <c r="F3" s="70" t="str" cm="1">
        <f t="array" ref="F3:H16">_xlfn._xlws.FILTER(
  CHOOSE({1,2,3},
    Data!B2:B1000,
    Data!H2:H1000,
    Data!N2:N1000
  ),
  (ISNUMBER(SEARCH("Sante", Data!H2:H1000))) *
  (
    (Data!E2:E1000="Not Approved") +
    ISNUMBER(SEARCH("Pending", Data!E2:E1000)) +
    (Data!E2:E1000="Approved")
  )
)</f>
        <v>AZ College of Nursing Job Fair</v>
      </c>
      <c r="G3" s="67" t="str">
        <v>Sante / Aleca</v>
      </c>
      <c r="H3" s="67">
        <v>100</v>
      </c>
      <c r="I3" s="98" cm="1">
        <f t="array" ref="I3">IFERROR(
  VALUE(H3) / COUNTA(_xlfn.FILTERXML("&lt;t&gt;&lt;s&gt;" &amp; SUBSTITUTE(G3, " / ", "&lt;/s&gt;&lt;s&gt;") &amp; "&lt;/s&gt;&lt;/t&gt;", "//s")),
  0
)</f>
        <v>50</v>
      </c>
    </row>
    <row r="4" spans="1:10" x14ac:dyDescent="0.25">
      <c r="A4" s="68" t="str">
        <v>GCU Healthcare Career Fair</v>
      </c>
      <c r="B4" s="69" t="str">
        <v>Sante / Aleca</v>
      </c>
      <c r="C4" s="70" t="str">
        <v>Free</v>
      </c>
      <c r="D4" s="100" t="s">
        <v>155</v>
      </c>
      <c r="E4" s="105"/>
      <c r="F4" s="70" t="str">
        <v>University of Arizona Health Professions Expo</v>
      </c>
      <c r="G4" s="67" t="str">
        <v>Alante / Aleca / Sante</v>
      </c>
      <c r="H4" s="67" t="str">
        <v>-</v>
      </c>
      <c r="I4" s="98" t="s">
        <v>155</v>
      </c>
    </row>
    <row r="5" spans="1:10" x14ac:dyDescent="0.25">
      <c r="A5" s="67" t="str">
        <v>ACMA AZ Chapter Event</v>
      </c>
      <c r="B5" s="69" t="str">
        <v>Alante / Aleca / Sante</v>
      </c>
      <c r="C5" s="70">
        <v>850</v>
      </c>
      <c r="D5" s="100" cm="1">
        <f t="array" ref="D5">IFERROR(
  VALUE(C5) / COUNTA(_xlfn.FILTERXML("&lt;t&gt;&lt;s&gt;" &amp; SUBSTITUTE(B5, " / ", "&lt;/s&gt;&lt;s&gt;") &amp; "&lt;/s&gt;&lt;/t&gt;", "//s")),
  0
)</f>
        <v>283.33333333333331</v>
      </c>
      <c r="E5" s="105"/>
      <c r="F5" s="70" t="str">
        <v>GCU Healthcare Career Fair</v>
      </c>
      <c r="G5" s="67" t="str">
        <v>Sante / Aleca</v>
      </c>
      <c r="H5" s="67" t="str">
        <v>Free</v>
      </c>
      <c r="I5" s="98" cm="1">
        <f t="array" ref="I5">IFERROR(
  VALUE(H5) / COUNTA(_xlfn.FILTERXML("&lt;t&gt;&lt;s&gt;" &amp; SUBSTITUTE(G5, " / ", "&lt;/s&gt;&lt;s&gt;") &amp; "&lt;/s&gt;&lt;/t&gt;", "//s")),
  0
)</f>
        <v>0</v>
      </c>
    </row>
    <row r="6" spans="1:10" x14ac:dyDescent="0.25">
      <c r="A6" s="68" t="str">
        <v>EVIT Power Campus Career Fair</v>
      </c>
      <c r="B6" s="69" t="str">
        <v>Sante / Aleca</v>
      </c>
      <c r="C6" s="70">
        <v>285</v>
      </c>
      <c r="D6" s="100" cm="1">
        <f t="array" ref="D6">IFERROR(
  VALUE(C6) / COUNTA(_xlfn.FILTERXML("&lt;t&gt;&lt;s&gt;" &amp; SUBSTITUTE(B6, " / ", "&lt;/s&gt;&lt;s&gt;") &amp; "&lt;/s&gt;&lt;/t&gt;", "//s")),
  0
)</f>
        <v>142.5</v>
      </c>
      <c r="E6" s="105"/>
      <c r="F6" s="70" t="str">
        <v>ACMA AZ Chapter Event</v>
      </c>
      <c r="G6" s="67" t="str">
        <v>Alante / Aleca / Sante</v>
      </c>
      <c r="H6" s="67">
        <v>850</v>
      </c>
      <c r="I6" s="98" cm="1">
        <f t="array" ref="I6">IFERROR(
  VALUE(H6) / COUNTA(_xlfn.FILTERXML("&lt;t&gt;&lt;s&gt;" &amp; SUBSTITUTE(G6, " / ", "&lt;/s&gt;&lt;s&gt;") &amp; "&lt;/s&gt;&lt;/t&gt;", "//s")),
  0
)</f>
        <v>283.33333333333331</v>
      </c>
    </row>
    <row r="7" spans="1:10" x14ac:dyDescent="0.25">
      <c r="A7" s="67" t="str">
        <v>Gateway Community College OTA/PTA Career Fair</v>
      </c>
      <c r="B7" s="69" t="str">
        <v>Sante / Aleca</v>
      </c>
      <c r="C7" s="70">
        <v>335</v>
      </c>
      <c r="D7" s="100" cm="1">
        <f t="array" ref="D7">IFERROR(
  VALUE(C7) / COUNTA(_xlfn.FILTERXML("&lt;t&gt;&lt;s&gt;" &amp; SUBSTITUTE(B7, " / ", "&lt;/s&gt;&lt;s&gt;") &amp; "&lt;/s&gt;&lt;/t&gt;", "//s")),
  0
)</f>
        <v>167.5</v>
      </c>
      <c r="E7" s="105"/>
      <c r="F7" s="70" t="str">
        <v>EVIT Power Campus Career Fair</v>
      </c>
      <c r="G7" s="67" t="str">
        <v>Sante / Aleca</v>
      </c>
      <c r="H7" s="67">
        <v>285</v>
      </c>
      <c r="I7" s="98" cm="1">
        <f t="array" ref="I7">IFERROR(
  VALUE(H7) / COUNTA(_xlfn.FILTERXML("&lt;t&gt;&lt;s&gt;" &amp; SUBSTITUTE(G7, " / ", "&lt;/s&gt;&lt;s&gt;") &amp; "&lt;/s&gt;&lt;/t&gt;", "//s")),
  0
)</f>
        <v>142.5</v>
      </c>
    </row>
    <row r="8" spans="1:10" x14ac:dyDescent="0.25">
      <c r="A8" s="68" t="str">
        <v>2025 George Rozsa Golf Classic</v>
      </c>
      <c r="B8" s="69" t="str">
        <v>Sante</v>
      </c>
      <c r="C8" s="70">
        <v>15500</v>
      </c>
      <c r="D8" s="100" cm="1">
        <f t="array" ref="D8">IFERROR(
  VALUE(C8) / COUNTA(_xlfn.FILTERXML("&lt;t&gt;&lt;s&gt;" &amp; SUBSTITUTE(B8, " / ", "&lt;/s&gt;&lt;s&gt;") &amp; "&lt;/s&gt;&lt;/t&gt;", "//s")),
  0
)</f>
        <v>15500</v>
      </c>
      <c r="E8" s="105"/>
      <c r="F8" s="70" t="str">
        <v>Gateway Community College OTA/PTA Career Fair</v>
      </c>
      <c r="G8" s="67" t="str">
        <v>Sante / Aleca</v>
      </c>
      <c r="H8" s="67">
        <v>335</v>
      </c>
      <c r="I8" s="98" cm="1">
        <f t="array" ref="I8">IFERROR(
  VALUE(H8) / COUNTA(_xlfn.FILTERXML("&lt;t&gt;&lt;s&gt;" &amp; SUBSTITUTE(G8, " / ", "&lt;/s&gt;&lt;s&gt;") &amp; "&lt;/s&gt;&lt;/t&gt;", "//s")),
  0
)</f>
        <v>167.5</v>
      </c>
    </row>
    <row r="9" spans="1:10" x14ac:dyDescent="0.25">
      <c r="A9" s="68" t="str">
        <v>EVIT Mesa Main Campus Career Fair</v>
      </c>
      <c r="B9" s="69" t="str">
        <v>Sante / Aleca</v>
      </c>
      <c r="C9" s="83">
        <v>285</v>
      </c>
      <c r="D9" s="97" cm="1">
        <f t="array" ref="D9">IFERROR(
  VALUE(C9) / COUNTA(_xlfn.FILTERXML("&lt;t&gt;&lt;s&gt;" &amp; SUBSTITUTE(B9, " / ", "&lt;/s&gt;&lt;s&gt;") &amp; "&lt;/s&gt;&lt;/t&gt;", "//s")),
  0
)</f>
        <v>142.5</v>
      </c>
      <c r="E9" s="105"/>
      <c r="F9" s="70" t="str">
        <v>Population Health Management Summit</v>
      </c>
      <c r="G9" s="67" t="str">
        <v>Alante / Aleca / Sante</v>
      </c>
      <c r="H9" s="67">
        <v>1025</v>
      </c>
      <c r="I9" s="98" cm="1">
        <f t="array" ref="I9">IFERROR(
  VALUE(H9) / COUNTA(_xlfn.FILTERXML("&lt;t&gt;&lt;s&gt;" &amp; SUBSTITUTE(G9, " / ", "&lt;/s&gt;&lt;s&gt;") &amp; "&lt;/s&gt;&lt;/t&gt;", "//s")),
  0
)</f>
        <v>341.66666666666669</v>
      </c>
    </row>
    <row r="10" spans="1:10" x14ac:dyDescent="0.25">
      <c r="A10" s="67" t="str">
        <v>CMSA AZ Annual Conference</v>
      </c>
      <c r="B10" s="69" t="str">
        <v>Sante</v>
      </c>
      <c r="C10" s="83">
        <v>1750</v>
      </c>
      <c r="D10" s="97" cm="1">
        <f t="array" ref="D10">IFERROR(
  VALUE(C10) / COUNTA(_xlfn.FILTERXML("&lt;t&gt;&lt;s&gt;" &amp; SUBSTITUTE(B10, " / ", "&lt;/s&gt;&lt;s&gt;") &amp; "&lt;/s&gt;&lt;/t&gt;", "//s")),
  0
)</f>
        <v>1750</v>
      </c>
      <c r="F10" s="67" t="str">
        <v>2025 George Rozsa Golf Classic</v>
      </c>
      <c r="G10" s="67" t="str">
        <v>Sante</v>
      </c>
      <c r="H10" s="67">
        <v>15500</v>
      </c>
      <c r="I10" s="98" cm="1">
        <f t="array" ref="I10">IFERROR(
  VALUE(H10) / COUNTA(_xlfn.FILTERXML("&lt;t&gt;&lt;s&gt;" &amp; SUBSTITUTE(G10, " / ", "&lt;/s&gt;&lt;s&gt;") &amp; "&lt;/s&gt;&lt;/t&gt;", "//s")),
  0
)</f>
        <v>15500</v>
      </c>
    </row>
    <row r="11" spans="1:10" x14ac:dyDescent="0.25">
      <c r="A11" s="67" t="str">
        <v>Arizona Health Care Association (AHCA) Convention &amp; Expo</v>
      </c>
      <c r="B11" s="69" t="str">
        <v>Alante / Aleca / Sante</v>
      </c>
      <c r="C11" s="70">
        <v>2550</v>
      </c>
      <c r="D11" s="97" cm="1">
        <f t="array" ref="D11">IFERROR(
  VALUE(C11) / COUNTA(_xlfn.FILTERXML("&lt;t&gt;&lt;s&gt;" &amp; SUBSTITUTE(B11, " / ", "&lt;/s&gt;&lt;s&gt;") &amp; "&lt;/s&gt;&lt;/t&gt;", "//s")),
  0
)</f>
        <v>850</v>
      </c>
      <c r="F11" s="67" t="str">
        <v>EVIT Mesa Main Campus Career Fair</v>
      </c>
      <c r="G11" s="67" t="str">
        <v>Sante / Aleca</v>
      </c>
      <c r="H11" s="67">
        <v>285</v>
      </c>
      <c r="I11" s="98" cm="1">
        <f t="array" ref="I11">IFERROR(
  VALUE(H11) / COUNTA(_xlfn.FILTERXML("&lt;t&gt;&lt;s&gt;" &amp; SUBSTITUTE(G11, " / ", "&lt;/s&gt;&lt;s&gt;") &amp; "&lt;/s&gt;&lt;/t&gt;", "//s")),
  0
)</f>
        <v>142.5</v>
      </c>
    </row>
    <row r="12" spans="1:10" x14ac:dyDescent="0.25">
      <c r="D12" s="97" cm="1">
        <f t="array" ref="D12">IFERROR(
  VALUE(C12) / COUNTA(_xlfn.FILTERXML("&lt;t&gt;&lt;s&gt;" &amp; SUBSTITUTE(B12, " / ", "&lt;/s&gt;&lt;s&gt;") &amp; "&lt;/s&gt;&lt;/t&gt;", "//s")),
  0
)</f>
        <v>0</v>
      </c>
      <c r="F12" s="67" t="str">
        <v>CMSA AZ Annual Conference</v>
      </c>
      <c r="G12" s="67" t="str">
        <v>Sante</v>
      </c>
      <c r="H12" s="67">
        <v>1750</v>
      </c>
      <c r="I12" s="98" cm="1">
        <f t="array" ref="I12">IFERROR(
  VALUE(H12) / COUNTA(_xlfn.FILTERXML("&lt;t&gt;&lt;s&gt;" &amp; SUBSTITUTE(G12, " / ", "&lt;/s&gt;&lt;s&gt;") &amp; "&lt;/s&gt;&lt;/t&gt;", "//s")),
  0
)</f>
        <v>1750</v>
      </c>
    </row>
    <row r="13" spans="1:10" x14ac:dyDescent="0.25">
      <c r="D13" s="97" cm="1">
        <f t="array" ref="D13">IFERROR(
  VALUE(C13) / COUNTA(_xlfn.FILTERXML("&lt;t&gt;&lt;s&gt;" &amp; SUBSTITUTE(B13, " / ", "&lt;/s&gt;&lt;s&gt;") &amp; "&lt;/s&gt;&lt;/t&gt;", "//s")),
  0
)</f>
        <v>0</v>
      </c>
      <c r="F13" s="67" t="str">
        <v>Arizona Health Care Association (AHCA) Convention &amp; Expo</v>
      </c>
      <c r="G13" s="67" t="str">
        <v>Alante / Aleca / Sante</v>
      </c>
      <c r="H13" s="67">
        <v>2550</v>
      </c>
      <c r="I13" s="98" cm="1">
        <f t="array" ref="I13">IFERROR(
  VALUE(H13) / COUNTA(_xlfn.FILTERXML("&lt;t&gt;&lt;s&gt;" &amp; SUBSTITUTE(G13, " / ", "&lt;/s&gt;&lt;s&gt;") &amp; "&lt;/s&gt;&lt;/t&gt;", "//s")),
  0
)</f>
        <v>850</v>
      </c>
    </row>
    <row r="14" spans="1:10" x14ac:dyDescent="0.25">
      <c r="D14" s="97" cm="1">
        <f t="array" ref="D14">IFERROR(
  VALUE(C14) / COUNTA(_xlfn.FILTERXML("&lt;t&gt;&lt;s&gt;" &amp; SUBSTITUTE(B14, " / ", "&lt;/s&gt;&lt;s&gt;") &amp; "&lt;/s&gt;&lt;/t&gt;", "//s")),
  0
)</f>
        <v>0</v>
      </c>
      <c r="F14" s="67" t="str">
        <v>Association of Rehabilitation Nurses (ARN) Annual Conference</v>
      </c>
      <c r="G14" s="67" t="str">
        <v>Alante / Aleca / Sante</v>
      </c>
      <c r="H14" s="67">
        <v>809</v>
      </c>
      <c r="I14" s="98" cm="1">
        <f t="array" ref="I14">IFERROR(
  VALUE(H14) / COUNTA(_xlfn.FILTERXML("&lt;t&gt;&lt;s&gt;" &amp; SUBSTITUTE(G14, " / ", "&lt;/s&gt;&lt;s&gt;") &amp; "&lt;/s&gt;&lt;/t&gt;", "//s")),
  0
)</f>
        <v>269.66666666666669</v>
      </c>
    </row>
    <row r="15" spans="1:10" x14ac:dyDescent="0.25">
      <c r="D15" s="97" cm="1">
        <f t="array" ref="D15">IFERROR(
  VALUE(C15) / COUNTA(_xlfn.FILTERXML("&lt;t&gt;&lt;s&gt;" &amp; SUBSTITUTE(B15, " / ", "&lt;/s&gt;&lt;s&gt;") &amp; "&lt;/s&gt;&lt;/t&gt;", "//s")),
  0
)</f>
        <v>0</v>
      </c>
      <c r="F15" s="67" t="str">
        <v>Annual Leadership Conference (AZHHA)</v>
      </c>
      <c r="G15" s="67" t="str">
        <v>Alante / Aleca / Sante</v>
      </c>
      <c r="H15" s="67">
        <v>0</v>
      </c>
      <c r="I15" s="98" cm="1">
        <f t="array" ref="I15">IFERROR(
  VALUE(H15) / COUNTA(_xlfn.FILTERXML("&lt;t&gt;&lt;s&gt;" &amp; SUBSTITUTE(G15, " / ", "&lt;/s&gt;&lt;s&gt;") &amp; "&lt;/s&gt;&lt;/t&gt;", "//s")),
  0
)</f>
        <v>0</v>
      </c>
    </row>
    <row r="16" spans="1:10" x14ac:dyDescent="0.25">
      <c r="D16" s="97" cm="1">
        <f t="array" ref="D16">IFERROR(
  VALUE(C16) / COUNTA(_xlfn.FILTERXML("&lt;t&gt;&lt;s&gt;" &amp; SUBSTITUTE(B16, " / ", "&lt;/s&gt;&lt;s&gt;") &amp; "&lt;/s&gt;&lt;/t&gt;", "//s")),
  0
)</f>
        <v>0</v>
      </c>
      <c r="F16" s="67" t="str">
        <v>Banner Ball: A Celebration of Caring and Cures</v>
      </c>
      <c r="G16" s="67" t="str">
        <v>Alante / Aleca / Sante</v>
      </c>
      <c r="H16" s="67">
        <v>0</v>
      </c>
      <c r="I16" s="98" cm="1">
        <f t="array" ref="I16">IFERROR(
  VALUE(H16) / COUNTA(_xlfn.FILTERXML("&lt;t&gt;&lt;s&gt;" &amp; SUBSTITUTE(G16, " / ", "&lt;/s&gt;&lt;s&gt;") &amp; "&lt;/s&gt;&lt;/t&gt;", "//s")),
  0
)</f>
        <v>0</v>
      </c>
    </row>
    <row r="17" spans="4:9" x14ac:dyDescent="0.25">
      <c r="D17" s="97" cm="1">
        <f t="array" ref="D17">IFERROR(
  VALUE(C17) / COUNTA(_xlfn.FILTERXML("&lt;t&gt;&lt;s&gt;" &amp; SUBSTITUTE(B17, " / ", "&lt;/s&gt;&lt;s&gt;") &amp; "&lt;/s&gt;&lt;/t&gt;", "//s")),
  0
)</f>
        <v>0</v>
      </c>
      <c r="I17" s="98" cm="1">
        <f t="array" ref="I17">IFERROR(
  VALUE(H17) / COUNTA(_xlfn.FILTERXML("&lt;t&gt;&lt;s&gt;" &amp; SUBSTITUTE(G17, " / ", "&lt;/s&gt;&lt;s&gt;") &amp; "&lt;/s&gt;&lt;/t&gt;", "//s")),
  0
)</f>
        <v>0</v>
      </c>
    </row>
    <row r="18" spans="4:9" x14ac:dyDescent="0.25">
      <c r="D18" s="97" cm="1">
        <f t="array" ref="D18">IFERROR(
  VALUE(C18) / COUNTA(_xlfn.FILTERXML("&lt;t&gt;&lt;s&gt;" &amp; SUBSTITUTE(B18, " / ", "&lt;/s&gt;&lt;s&gt;") &amp; "&lt;/s&gt;&lt;/t&gt;", "//s")),
  0
)</f>
        <v>0</v>
      </c>
      <c r="I18" s="98" cm="1">
        <f t="array" ref="I18">IFERROR(
  VALUE(H18) / COUNTA(_xlfn.FILTERXML("&lt;t&gt;&lt;s&gt;" &amp; SUBSTITUTE(G18, " / ", "&lt;/s&gt;&lt;s&gt;") &amp; "&lt;/s&gt;&lt;/t&gt;", "//s")),
  0
)</f>
        <v>0</v>
      </c>
    </row>
    <row r="19" spans="4:9" x14ac:dyDescent="0.25">
      <c r="D19" s="97" cm="1">
        <f t="array" ref="D19">IFERROR(
  VALUE(C19) / COUNTA(_xlfn.FILTERXML("&lt;t&gt;&lt;s&gt;" &amp; SUBSTITUTE(B19, " / ", "&lt;/s&gt;&lt;s&gt;") &amp; "&lt;/s&gt;&lt;/t&gt;", "//s")),
  0
)</f>
        <v>0</v>
      </c>
      <c r="I19" s="98" cm="1">
        <f t="array" ref="I19">IFERROR(
  VALUE(H19) / COUNTA(_xlfn.FILTERXML("&lt;t&gt;&lt;s&gt;" &amp; SUBSTITUTE(G19, " / ", "&lt;/s&gt;&lt;s&gt;") &amp; "&lt;/s&gt;&lt;/t&gt;", "//s")),
  0
)</f>
        <v>0</v>
      </c>
    </row>
    <row r="20" spans="4:9" x14ac:dyDescent="0.25">
      <c r="D20" s="97" cm="1">
        <f t="array" ref="D20">IFERROR(
  VALUE(C20) / COUNTA(_xlfn.FILTERXML("&lt;t&gt;&lt;s&gt;" &amp; SUBSTITUTE(B20, " / ", "&lt;/s&gt;&lt;s&gt;") &amp; "&lt;/s&gt;&lt;/t&gt;", "//s")),
  0
)</f>
        <v>0</v>
      </c>
      <c r="I20" s="98" cm="1">
        <f t="array" ref="I20">IFERROR(
  VALUE(H20) / COUNTA(_xlfn.FILTERXML("&lt;t&gt;&lt;s&gt;" &amp; SUBSTITUTE(G20, " / ", "&lt;/s&gt;&lt;s&gt;") &amp; "&lt;/s&gt;&lt;/t&gt;", "//s")),
  0
)</f>
        <v>0</v>
      </c>
    </row>
    <row r="21" spans="4:9" x14ac:dyDescent="0.25">
      <c r="D21" s="97" cm="1">
        <f t="array" ref="D21">IFERROR(
  VALUE(C21) / COUNTA(_xlfn.FILTERXML("&lt;t&gt;&lt;s&gt;" &amp; SUBSTITUTE(B21, " / ", "&lt;/s&gt;&lt;s&gt;") &amp; "&lt;/s&gt;&lt;/t&gt;", "//s")),
  0
)</f>
        <v>0</v>
      </c>
      <c r="I21" s="98" cm="1">
        <f t="array" ref="I21">IFERROR(
  VALUE(H21) / COUNTA(_xlfn.FILTERXML("&lt;t&gt;&lt;s&gt;" &amp; SUBSTITUTE(G21, " / ", "&lt;/s&gt;&lt;s&gt;") &amp; "&lt;/s&gt;&lt;/t&gt;", "//s")),
  0
)</f>
        <v>0</v>
      </c>
    </row>
    <row r="22" spans="4:9" x14ac:dyDescent="0.25">
      <c r="D22" s="97" cm="1">
        <f t="array" ref="D22">IFERROR(
  VALUE(C22) / COUNTA(_xlfn.FILTERXML("&lt;t&gt;&lt;s&gt;" &amp; SUBSTITUTE(B22, " / ", "&lt;/s&gt;&lt;s&gt;") &amp; "&lt;/s&gt;&lt;/t&gt;", "//s")),
  0
)</f>
        <v>0</v>
      </c>
      <c r="I22" s="98" cm="1">
        <f t="array" ref="I22">IFERROR(
  VALUE(H22) / COUNTA(_xlfn.FILTERXML("&lt;t&gt;&lt;s&gt;" &amp; SUBSTITUTE(G22, " / ", "&lt;/s&gt;&lt;s&gt;") &amp; "&lt;/s&gt;&lt;/t&gt;", "//s")),
  0
)</f>
        <v>0</v>
      </c>
    </row>
    <row r="23" spans="4:9" x14ac:dyDescent="0.25">
      <c r="D23" s="97" cm="1">
        <f t="array" ref="D23">IFERROR(
  VALUE(C23) / COUNTA(_xlfn.FILTERXML("&lt;t&gt;&lt;s&gt;" &amp; SUBSTITUTE(B23, " / ", "&lt;/s&gt;&lt;s&gt;") &amp; "&lt;/s&gt;&lt;/t&gt;", "//s")),
  0
)</f>
        <v>0</v>
      </c>
      <c r="I23" s="98" cm="1">
        <f t="array" ref="I23">IFERROR(
  VALUE(H23) / COUNTA(_xlfn.FILTERXML("&lt;t&gt;&lt;s&gt;" &amp; SUBSTITUTE(G23, " / ", "&lt;/s&gt;&lt;s&gt;") &amp; "&lt;/s&gt;&lt;/t&gt;", "//s")),
  0
)</f>
        <v>0</v>
      </c>
    </row>
    <row r="24" spans="4:9" x14ac:dyDescent="0.25">
      <c r="D24" s="97" cm="1">
        <f t="array" ref="D24">IFERROR(
  VALUE(C24) / COUNTA(_xlfn.FILTERXML("&lt;t&gt;&lt;s&gt;" &amp; SUBSTITUTE(B24, " / ", "&lt;/s&gt;&lt;s&gt;") &amp; "&lt;/s&gt;&lt;/t&gt;", "//s")),
  0
)</f>
        <v>0</v>
      </c>
      <c r="I24" s="98" cm="1">
        <f t="array" ref="I24">IFERROR(
  VALUE(H24) / COUNTA(_xlfn.FILTERXML("&lt;t&gt;&lt;s&gt;" &amp; SUBSTITUTE(G24, " / ", "&lt;/s&gt;&lt;s&gt;") &amp; "&lt;/s&gt;&lt;/t&gt;", "//s")),
  0
)</f>
        <v>0</v>
      </c>
    </row>
    <row r="25" spans="4:9" x14ac:dyDescent="0.25">
      <c r="D25" s="97" cm="1">
        <f t="array" ref="D25">IFERROR(
  VALUE(C25) / COUNTA(_xlfn.FILTERXML("&lt;t&gt;&lt;s&gt;" &amp; SUBSTITUTE(B25, " / ", "&lt;/s&gt;&lt;s&gt;") &amp; "&lt;/s&gt;&lt;/t&gt;", "//s")),
  0
)</f>
        <v>0</v>
      </c>
      <c r="I25" s="98" cm="1">
        <f t="array" ref="I25">IFERROR(
  VALUE(H25) / COUNTA(_xlfn.FILTERXML("&lt;t&gt;&lt;s&gt;" &amp; SUBSTITUTE(G25, " / ", "&lt;/s&gt;&lt;s&gt;") &amp; "&lt;/s&gt;&lt;/t&gt;", "//s")),
  0
)</f>
        <v>0</v>
      </c>
    </row>
    <row r="26" spans="4:9" x14ac:dyDescent="0.25">
      <c r="D26" s="97" cm="1">
        <f t="array" ref="D26">IFERROR(
  VALUE(C26) / COUNTA(_xlfn.FILTERXML("&lt;t&gt;&lt;s&gt;" &amp; SUBSTITUTE(B26, " / ", "&lt;/s&gt;&lt;s&gt;") &amp; "&lt;/s&gt;&lt;/t&gt;", "//s")),
  0
)</f>
        <v>0</v>
      </c>
      <c r="I26" s="98" cm="1">
        <f t="array" ref="I26">IFERROR(
  VALUE(H26) / COUNTA(_xlfn.FILTERXML("&lt;t&gt;&lt;s&gt;" &amp; SUBSTITUTE(G26, " / ", "&lt;/s&gt;&lt;s&gt;") &amp; "&lt;/s&gt;&lt;/t&gt;", "//s")),
  0
)</f>
        <v>0</v>
      </c>
    </row>
    <row r="27" spans="4:9" x14ac:dyDescent="0.25">
      <c r="D27" s="97" cm="1">
        <f t="array" ref="D27">IFERROR(
  VALUE(C27) / COUNTA(_xlfn.FILTERXML("&lt;t&gt;&lt;s&gt;" &amp; SUBSTITUTE(B27, " / ", "&lt;/s&gt;&lt;s&gt;") &amp; "&lt;/s&gt;&lt;/t&gt;", "//s")),
  0
)</f>
        <v>0</v>
      </c>
      <c r="I27" s="98" cm="1">
        <f t="array" ref="I27">IFERROR(
  VALUE(H27) / COUNTA(_xlfn.FILTERXML("&lt;t&gt;&lt;s&gt;" &amp; SUBSTITUTE(G27, " / ", "&lt;/s&gt;&lt;s&gt;") &amp; "&lt;/s&gt;&lt;/t&gt;", "//s")),
  0
)</f>
        <v>0</v>
      </c>
    </row>
    <row r="28" spans="4:9" x14ac:dyDescent="0.25">
      <c r="D28" s="97" cm="1">
        <f t="array" ref="D28">IFERROR(
  VALUE(C28) / COUNTA(_xlfn.FILTERXML("&lt;t&gt;&lt;s&gt;" &amp; SUBSTITUTE(B28, " / ", "&lt;/s&gt;&lt;s&gt;") &amp; "&lt;/s&gt;&lt;/t&gt;", "//s")),
  0
)</f>
        <v>0</v>
      </c>
      <c r="I28" s="98" cm="1">
        <f t="array" ref="I28">IFERROR(
  VALUE(H28) / COUNTA(_xlfn.FILTERXML("&lt;t&gt;&lt;s&gt;" &amp; SUBSTITUTE(G28, " / ", "&lt;/s&gt;&lt;s&gt;") &amp; "&lt;/s&gt;&lt;/t&gt;", "//s")),
  0
)</f>
        <v>0</v>
      </c>
    </row>
    <row r="29" spans="4:9" x14ac:dyDescent="0.25">
      <c r="D29" s="97" cm="1">
        <f t="array" ref="D29">IFERROR(
  VALUE(C29) / COUNTA(_xlfn.FILTERXML("&lt;t&gt;&lt;s&gt;" &amp; SUBSTITUTE(B29, " / ", "&lt;/s&gt;&lt;s&gt;") &amp; "&lt;/s&gt;&lt;/t&gt;", "//s")),
  0
)</f>
        <v>0</v>
      </c>
      <c r="I29" s="98" cm="1">
        <f t="array" ref="I29">IFERROR(
  VALUE(H29) / COUNTA(_xlfn.FILTERXML("&lt;t&gt;&lt;s&gt;" &amp; SUBSTITUTE(G29, " / ", "&lt;/s&gt;&lt;s&gt;") &amp; "&lt;/s&gt;&lt;/t&gt;", "//s")),
  0
)</f>
        <v>0</v>
      </c>
    </row>
    <row r="30" spans="4:9" x14ac:dyDescent="0.25">
      <c r="D30" s="97" cm="1">
        <f t="array" ref="D30">IFERROR(
  VALUE(C30) / COUNTA(_xlfn.FILTERXML("&lt;t&gt;&lt;s&gt;" &amp; SUBSTITUTE(B30, " / ", "&lt;/s&gt;&lt;s&gt;") &amp; "&lt;/s&gt;&lt;/t&gt;", "//s")),
  0
)</f>
        <v>0</v>
      </c>
      <c r="I30" s="98" cm="1">
        <f t="array" ref="I30">IFERROR(
  VALUE(H30) / COUNTA(_xlfn.FILTERXML("&lt;t&gt;&lt;s&gt;" &amp; SUBSTITUTE(G30, " / ", "&lt;/s&gt;&lt;s&gt;") &amp; "&lt;/s&gt;&lt;/t&gt;", "//s")),
  0
)</f>
        <v>0</v>
      </c>
    </row>
    <row r="31" spans="4:9" x14ac:dyDescent="0.25">
      <c r="D31" s="97" cm="1">
        <f t="array" ref="D31">IFERROR(
  VALUE(C31) / COUNTA(_xlfn.FILTERXML("&lt;t&gt;&lt;s&gt;" &amp; SUBSTITUTE(B31, " / ", "&lt;/s&gt;&lt;s&gt;") &amp; "&lt;/s&gt;&lt;/t&gt;", "//s")),
  0
)</f>
        <v>0</v>
      </c>
      <c r="I31" s="98" cm="1">
        <f t="array" ref="I31">IFERROR(
  VALUE(H31) / COUNTA(_xlfn.FILTERXML("&lt;t&gt;&lt;s&gt;" &amp; SUBSTITUTE(G31, " / ", "&lt;/s&gt;&lt;s&gt;") &amp; "&lt;/s&gt;&lt;/t&gt;", "//s")),
  0
)</f>
        <v>0</v>
      </c>
    </row>
    <row r="32" spans="4:9" x14ac:dyDescent="0.25">
      <c r="D32" s="97" cm="1">
        <f t="array" ref="D32">IFERROR(
  VALUE(C32) / COUNTA(_xlfn.FILTERXML("&lt;t&gt;&lt;s&gt;" &amp; SUBSTITUTE(B32, " / ", "&lt;/s&gt;&lt;s&gt;") &amp; "&lt;/s&gt;&lt;/t&gt;", "//s")),
  0
)</f>
        <v>0</v>
      </c>
      <c r="I32" s="98" cm="1">
        <f t="array" ref="I32">IFERROR(
  VALUE(H32) / COUNTA(_xlfn.FILTERXML("&lt;t&gt;&lt;s&gt;" &amp; SUBSTITUTE(G32, " / ", "&lt;/s&gt;&lt;s&gt;") &amp; "&lt;/s&gt;&lt;/t&gt;", "//s")),
  0
)</f>
        <v>0</v>
      </c>
    </row>
    <row r="33" spans="4:9" x14ac:dyDescent="0.25">
      <c r="D33" s="97" cm="1">
        <f t="array" ref="D33">IFERROR(
  VALUE(C33) / COUNTA(_xlfn.FILTERXML("&lt;t&gt;&lt;s&gt;" &amp; SUBSTITUTE(B33, " / ", "&lt;/s&gt;&lt;s&gt;") &amp; "&lt;/s&gt;&lt;/t&gt;", "//s")),
  0
)</f>
        <v>0</v>
      </c>
      <c r="I33" s="98" cm="1">
        <f t="array" ref="I33">IFERROR(
  VALUE(H33) / COUNTA(_xlfn.FILTERXML("&lt;t&gt;&lt;s&gt;" &amp; SUBSTITUTE(G33, " / ", "&lt;/s&gt;&lt;s&gt;") &amp; "&lt;/s&gt;&lt;/t&gt;", "//s")),
  0
)</f>
        <v>0</v>
      </c>
    </row>
    <row r="34" spans="4:9" x14ac:dyDescent="0.25">
      <c r="D34" s="97" cm="1">
        <f t="array" ref="D34">IFERROR(
  VALUE(C34) / COUNTA(_xlfn.FILTERXML("&lt;t&gt;&lt;s&gt;" &amp; SUBSTITUTE(B34, " / ", "&lt;/s&gt;&lt;s&gt;") &amp; "&lt;/s&gt;&lt;/t&gt;", "//s")),
  0
)</f>
        <v>0</v>
      </c>
      <c r="I34" s="98" cm="1">
        <f t="array" ref="I34">IFERROR(
  VALUE(H34) / COUNTA(_xlfn.FILTERXML("&lt;t&gt;&lt;s&gt;" &amp; SUBSTITUTE(G34, " / ", "&lt;/s&gt;&lt;s&gt;") &amp; "&lt;/s&gt;&lt;/t&gt;", "//s")),
  0
)</f>
        <v>0</v>
      </c>
    </row>
    <row r="35" spans="4:9" x14ac:dyDescent="0.25">
      <c r="D35" s="97" cm="1">
        <f t="array" ref="D35">IFERROR(
  VALUE(C35) / COUNTA(_xlfn.FILTERXML("&lt;t&gt;&lt;s&gt;" &amp; SUBSTITUTE(B35, " / ", "&lt;/s&gt;&lt;s&gt;") &amp; "&lt;/s&gt;&lt;/t&gt;", "//s")),
  0
)</f>
        <v>0</v>
      </c>
      <c r="I35" s="98" cm="1">
        <f t="array" ref="I35">IFERROR(
  VALUE(H35) / COUNTA(_xlfn.FILTERXML("&lt;t&gt;&lt;s&gt;" &amp; SUBSTITUTE(G35, " / ", "&lt;/s&gt;&lt;s&gt;") &amp; "&lt;/s&gt;&lt;/t&gt;", "//s")),
  0
)</f>
        <v>0</v>
      </c>
    </row>
    <row r="36" spans="4:9" x14ac:dyDescent="0.25">
      <c r="D36" s="97" cm="1">
        <f t="array" ref="D36">IFERROR(
  VALUE(C36) / COUNTA(_xlfn.FILTERXML("&lt;t&gt;&lt;s&gt;" &amp; SUBSTITUTE(B36, " / ", "&lt;/s&gt;&lt;s&gt;") &amp; "&lt;/s&gt;&lt;/t&gt;", "//s")),
  0
)</f>
        <v>0</v>
      </c>
      <c r="I36" s="98" cm="1">
        <f t="array" ref="I36">IFERROR(
  VALUE(H36) / COUNTA(_xlfn.FILTERXML("&lt;t&gt;&lt;s&gt;" &amp; SUBSTITUTE(G36, " / ", "&lt;/s&gt;&lt;s&gt;") &amp; "&lt;/s&gt;&lt;/t&gt;", "//s")),
  0
)</f>
        <v>0</v>
      </c>
    </row>
    <row r="37" spans="4:9" x14ac:dyDescent="0.25">
      <c r="D37" s="97" cm="1">
        <f t="array" ref="D37">IFERROR(
  VALUE(C37) / COUNTA(_xlfn.FILTERXML("&lt;t&gt;&lt;s&gt;" &amp; SUBSTITUTE(B37, " / ", "&lt;/s&gt;&lt;s&gt;") &amp; "&lt;/s&gt;&lt;/t&gt;", "//s")),
  0
)</f>
        <v>0</v>
      </c>
      <c r="I37" s="98" cm="1">
        <f t="array" ref="I37">IFERROR(
  VALUE(H37) / COUNTA(_xlfn.FILTERXML("&lt;t&gt;&lt;s&gt;" &amp; SUBSTITUTE(G37, " / ", "&lt;/s&gt;&lt;s&gt;") &amp; "&lt;/s&gt;&lt;/t&gt;", "//s")),
  0
)</f>
        <v>0</v>
      </c>
    </row>
    <row r="38" spans="4:9" x14ac:dyDescent="0.25">
      <c r="D38" s="97" cm="1">
        <f t="array" ref="D38">IFERROR(
  VALUE(C38) / COUNTA(_xlfn.FILTERXML("&lt;t&gt;&lt;s&gt;" &amp; SUBSTITUTE(B38, " / ", "&lt;/s&gt;&lt;s&gt;") &amp; "&lt;/s&gt;&lt;/t&gt;", "//s")),
  0
)</f>
        <v>0</v>
      </c>
      <c r="I38" s="98" cm="1">
        <f t="array" ref="I38">IFERROR(
  VALUE(H38) / COUNTA(_xlfn.FILTERXML("&lt;t&gt;&lt;s&gt;" &amp; SUBSTITUTE(G38, " / ", "&lt;/s&gt;&lt;s&gt;") &amp; "&lt;/s&gt;&lt;/t&gt;", "//s")),
  0
)</f>
        <v>0</v>
      </c>
    </row>
    <row r="39" spans="4:9" x14ac:dyDescent="0.25">
      <c r="D39" s="97" cm="1">
        <f t="array" ref="D39">IFERROR(
  VALUE(C39) / COUNTA(_xlfn.FILTERXML("&lt;t&gt;&lt;s&gt;" &amp; SUBSTITUTE(B39, " / ", "&lt;/s&gt;&lt;s&gt;") &amp; "&lt;/s&gt;&lt;/t&gt;", "//s")),
  0
)</f>
        <v>0</v>
      </c>
      <c r="I39" s="98" cm="1">
        <f t="array" ref="I39">IFERROR(
  VALUE(H39) / COUNTA(_xlfn.FILTERXML("&lt;t&gt;&lt;s&gt;" &amp; SUBSTITUTE(G39, " / ", "&lt;/s&gt;&lt;s&gt;") &amp; "&lt;/s&gt;&lt;/t&gt;", "//s")),
  0
)</f>
        <v>0</v>
      </c>
    </row>
    <row r="40" spans="4:9" x14ac:dyDescent="0.25">
      <c r="D40" s="97" cm="1">
        <f t="array" ref="D40">IFERROR(
  VALUE(C40) / COUNTA(_xlfn.FILTERXML("&lt;t&gt;&lt;s&gt;" &amp; SUBSTITUTE(B40, " / ", "&lt;/s&gt;&lt;s&gt;") &amp; "&lt;/s&gt;&lt;/t&gt;", "//s")),
  0
)</f>
        <v>0</v>
      </c>
      <c r="I40" s="98" cm="1">
        <f t="array" ref="I40">IFERROR(
  VALUE(H40) / COUNTA(_xlfn.FILTERXML("&lt;t&gt;&lt;s&gt;" &amp; SUBSTITUTE(G40, " / ", "&lt;/s&gt;&lt;s&gt;") &amp; "&lt;/s&gt;&lt;/t&gt;", "//s")),
  0
)</f>
        <v>0</v>
      </c>
    </row>
    <row r="41" spans="4:9" x14ac:dyDescent="0.25">
      <c r="D41" s="97" cm="1">
        <f t="array" ref="D41">IFERROR(
  VALUE(C41) / COUNTA(_xlfn.FILTERXML("&lt;t&gt;&lt;s&gt;" &amp; SUBSTITUTE(B41, " / ", "&lt;/s&gt;&lt;s&gt;") &amp; "&lt;/s&gt;&lt;/t&gt;", "//s")),
  0
)</f>
        <v>0</v>
      </c>
      <c r="I41" s="98" cm="1">
        <f t="array" ref="I41">IFERROR(
  VALUE(H41) / COUNTA(_xlfn.FILTERXML("&lt;t&gt;&lt;s&gt;" &amp; SUBSTITUTE(G41, " / ", "&lt;/s&gt;&lt;s&gt;") &amp; "&lt;/s&gt;&lt;/t&gt;", "//s")),
  0
)</f>
        <v>0</v>
      </c>
    </row>
    <row r="42" spans="4:9" x14ac:dyDescent="0.25">
      <c r="D42" s="97" cm="1">
        <f t="array" ref="D42">IFERROR(
  VALUE(C42) / COUNTA(_xlfn.FILTERXML("&lt;t&gt;&lt;s&gt;" &amp; SUBSTITUTE(B42, " / ", "&lt;/s&gt;&lt;s&gt;") &amp; "&lt;/s&gt;&lt;/t&gt;", "//s")),
  0
)</f>
        <v>0</v>
      </c>
      <c r="I42" s="98" cm="1">
        <f t="array" ref="I42">IFERROR(
  VALUE(H42) / COUNTA(_xlfn.FILTERXML("&lt;t&gt;&lt;s&gt;" &amp; SUBSTITUTE(G42, " / ", "&lt;/s&gt;&lt;s&gt;") &amp; "&lt;/s&gt;&lt;/t&gt;", "//s")),
  0
)</f>
        <v>0</v>
      </c>
    </row>
    <row r="43" spans="4:9" x14ac:dyDescent="0.25">
      <c r="D43" s="97" cm="1">
        <f t="array" ref="D43">IFERROR(
  VALUE(C43) / COUNTA(_xlfn.FILTERXML("&lt;t&gt;&lt;s&gt;" &amp; SUBSTITUTE(B43, " / ", "&lt;/s&gt;&lt;s&gt;") &amp; "&lt;/s&gt;&lt;/t&gt;", "//s")),
  0
)</f>
        <v>0</v>
      </c>
      <c r="I43" s="98" cm="1">
        <f t="array" ref="I43">IFERROR(
  VALUE(H43) / COUNTA(_xlfn.FILTERXML("&lt;t&gt;&lt;s&gt;" &amp; SUBSTITUTE(G43, " / ", "&lt;/s&gt;&lt;s&gt;") &amp; "&lt;/s&gt;&lt;/t&gt;", "//s")),
  0
)</f>
        <v>0</v>
      </c>
    </row>
    <row r="44" spans="4:9" x14ac:dyDescent="0.25">
      <c r="D44" s="97" cm="1">
        <f t="array" ref="D44">IFERROR(
  VALUE(C44) / COUNTA(_xlfn.FILTERXML("&lt;t&gt;&lt;s&gt;" &amp; SUBSTITUTE(B44, " / ", "&lt;/s&gt;&lt;s&gt;") &amp; "&lt;/s&gt;&lt;/t&gt;", "//s")),
  0
)</f>
        <v>0</v>
      </c>
      <c r="I44" s="98" cm="1">
        <f t="array" ref="I44">IFERROR(
  VALUE(H44) / COUNTA(_xlfn.FILTERXML("&lt;t&gt;&lt;s&gt;" &amp; SUBSTITUTE(G44, " / ", "&lt;/s&gt;&lt;s&gt;") &amp; "&lt;/s&gt;&lt;/t&gt;", "//s")),
  0
)</f>
        <v>0</v>
      </c>
    </row>
    <row r="45" spans="4:9" x14ac:dyDescent="0.25">
      <c r="D45" s="97" cm="1">
        <f t="array" ref="D45">IFERROR(
  VALUE(C45) / COUNTA(_xlfn.FILTERXML("&lt;t&gt;&lt;s&gt;" &amp; SUBSTITUTE(B45, " / ", "&lt;/s&gt;&lt;s&gt;") &amp; "&lt;/s&gt;&lt;/t&gt;", "//s")),
  0
)</f>
        <v>0</v>
      </c>
      <c r="I45" s="98" cm="1">
        <f t="array" ref="I45">IFERROR(
  VALUE(H45) / COUNTA(_xlfn.FILTERXML("&lt;t&gt;&lt;s&gt;" &amp; SUBSTITUTE(G45, " / ", "&lt;/s&gt;&lt;s&gt;") &amp; "&lt;/s&gt;&lt;/t&gt;", "//s")),
  0
)</f>
        <v>0</v>
      </c>
    </row>
    <row r="46" spans="4:9" x14ac:dyDescent="0.25">
      <c r="D46" s="97" cm="1">
        <f t="array" ref="D46">IFERROR(
  VALUE(C46) / COUNTA(_xlfn.FILTERXML("&lt;t&gt;&lt;s&gt;" &amp; SUBSTITUTE(B46, " / ", "&lt;/s&gt;&lt;s&gt;") &amp; "&lt;/s&gt;&lt;/t&gt;", "//s")),
  0
)</f>
        <v>0</v>
      </c>
      <c r="I46" s="98" cm="1">
        <f t="array" ref="I46">IFERROR(
  VALUE(H46) / COUNTA(_xlfn.FILTERXML("&lt;t&gt;&lt;s&gt;" &amp; SUBSTITUTE(G46, " / ", "&lt;/s&gt;&lt;s&gt;") &amp; "&lt;/s&gt;&lt;/t&gt;", "//s")),
  0
)</f>
        <v>0</v>
      </c>
    </row>
    <row r="47" spans="4:9" x14ac:dyDescent="0.25">
      <c r="D47" s="97" cm="1">
        <f t="array" ref="D47">IFERROR(
  VALUE(C47) / COUNTA(_xlfn.FILTERXML("&lt;t&gt;&lt;s&gt;" &amp; SUBSTITUTE(B47, " / ", "&lt;/s&gt;&lt;s&gt;") &amp; "&lt;/s&gt;&lt;/t&gt;", "//s")),
  0
)</f>
        <v>0</v>
      </c>
      <c r="I47" s="98" cm="1">
        <f t="array" ref="I47">IFERROR(
  VALUE(H47) / COUNTA(_xlfn.FILTERXML("&lt;t&gt;&lt;s&gt;" &amp; SUBSTITUTE(G47, " / ", "&lt;/s&gt;&lt;s&gt;") &amp; "&lt;/s&gt;&lt;/t&gt;", "//s")),
  0
)</f>
        <v>0</v>
      </c>
    </row>
    <row r="48" spans="4:9" x14ac:dyDescent="0.25">
      <c r="D48" s="97" cm="1">
        <f t="array" ref="D48">IFERROR(
  VALUE(C48) / COUNTA(_xlfn.FILTERXML("&lt;t&gt;&lt;s&gt;" &amp; SUBSTITUTE(B48, " / ", "&lt;/s&gt;&lt;s&gt;") &amp; "&lt;/s&gt;&lt;/t&gt;", "//s")),
  0
)</f>
        <v>0</v>
      </c>
      <c r="I48" s="98" cm="1">
        <f t="array" ref="I48">IFERROR(
  VALUE(H48) / COUNTA(_xlfn.FILTERXML("&lt;t&gt;&lt;s&gt;" &amp; SUBSTITUTE(G48, " / ", "&lt;/s&gt;&lt;s&gt;") &amp; "&lt;/s&gt;&lt;/t&gt;", "//s")),
  0
)</f>
        <v>0</v>
      </c>
    </row>
    <row r="49" spans="3:9" x14ac:dyDescent="0.25">
      <c r="D49" s="97" cm="1">
        <f t="array" ref="D49">IFERROR(
  VALUE(C49) / COUNTA(_xlfn.FILTERXML("&lt;t&gt;&lt;s&gt;" &amp; SUBSTITUTE(B49, " / ", "&lt;/s&gt;&lt;s&gt;") &amp; "&lt;/s&gt;&lt;/t&gt;", "//s")),
  0
)</f>
        <v>0</v>
      </c>
      <c r="I49" s="98" cm="1">
        <f t="array" ref="I49">IFERROR(
  VALUE(H49) / COUNTA(_xlfn.FILTERXML("&lt;t&gt;&lt;s&gt;" &amp; SUBSTITUTE(G49, " / ", "&lt;/s&gt;&lt;s&gt;") &amp; "&lt;/s&gt;&lt;/t&gt;", "//s")),
  0
)</f>
        <v>0</v>
      </c>
    </row>
    <row r="50" spans="3:9" x14ac:dyDescent="0.25">
      <c r="D50" s="97" cm="1">
        <f t="array" ref="D50">IFERROR(
  VALUE(C50) / COUNTA(_xlfn.FILTERXML("&lt;t&gt;&lt;s&gt;" &amp; SUBSTITUTE(B50, " / ", "&lt;/s&gt;&lt;s&gt;") &amp; "&lt;/s&gt;&lt;/t&gt;", "//s")),
  0
)</f>
        <v>0</v>
      </c>
      <c r="I50" s="98" cm="1">
        <f t="array" ref="I50">IFERROR(
  VALUE(H50) / COUNTA(_xlfn.FILTERXML("&lt;t&gt;&lt;s&gt;" &amp; SUBSTITUTE(G50, " / ", "&lt;/s&gt;&lt;s&gt;") &amp; "&lt;/s&gt;&lt;/t&gt;", "//s")),
  0
)</f>
        <v>0</v>
      </c>
    </row>
    <row r="51" spans="3:9" x14ac:dyDescent="0.25">
      <c r="D51" s="97" cm="1">
        <f t="array" ref="D51">IFERROR(
  VALUE(C51) / COUNTA(_xlfn.FILTERXML("&lt;t&gt;&lt;s&gt;" &amp; SUBSTITUTE(B51, " / ", "&lt;/s&gt;&lt;s&gt;") &amp; "&lt;/s&gt;&lt;/t&gt;", "//s")),
  0
)</f>
        <v>0</v>
      </c>
      <c r="I51" s="98" cm="1">
        <f t="array" ref="I51">IFERROR(
  VALUE(H51) / COUNTA(_xlfn.FILTERXML("&lt;t&gt;&lt;s&gt;" &amp; SUBSTITUTE(G51, " / ", "&lt;/s&gt;&lt;s&gt;") &amp; "&lt;/s&gt;&lt;/t&gt;", "//s")),
  0
)</f>
        <v>0</v>
      </c>
    </row>
    <row r="52" spans="3:9" x14ac:dyDescent="0.25">
      <c r="D52" s="97" cm="1">
        <f t="array" ref="D52">IFERROR(
  VALUE(C52) / COUNTA(_xlfn.FILTERXML("&lt;t&gt;&lt;s&gt;" &amp; SUBSTITUTE(B52, " / ", "&lt;/s&gt;&lt;s&gt;") &amp; "&lt;/s&gt;&lt;/t&gt;", "//s")),
  0
)</f>
        <v>0</v>
      </c>
      <c r="I52" s="98" cm="1">
        <f t="array" ref="I52">IFERROR(
  VALUE(H52) / COUNTA(_xlfn.FILTERXML("&lt;t&gt;&lt;s&gt;" &amp; SUBSTITUTE(G52, " / ", "&lt;/s&gt;&lt;s&gt;") &amp; "&lt;/s&gt;&lt;/t&gt;", "//s")),
  0
)</f>
        <v>0</v>
      </c>
    </row>
    <row r="53" spans="3:9" x14ac:dyDescent="0.25">
      <c r="D53" s="97" cm="1">
        <f t="array" ref="D53">IFERROR(
  VALUE(C53) / COUNTA(_xlfn.FILTERXML("&lt;t&gt;&lt;s&gt;" &amp; SUBSTITUTE(B53, " / ", "&lt;/s&gt;&lt;s&gt;") &amp; "&lt;/s&gt;&lt;/t&gt;", "//s")),
  0
)</f>
        <v>0</v>
      </c>
      <c r="I53" s="98" cm="1">
        <f t="array" ref="I53">IFERROR(
  VALUE(H53) / COUNTA(_xlfn.FILTERXML("&lt;t&gt;&lt;s&gt;" &amp; SUBSTITUTE(G53, " / ", "&lt;/s&gt;&lt;s&gt;") &amp; "&lt;/s&gt;&lt;/t&gt;", "//s")),
  0
)</f>
        <v>0</v>
      </c>
    </row>
    <row r="54" spans="3:9" x14ac:dyDescent="0.25">
      <c r="D54" s="97" cm="1">
        <f t="array" ref="D54">IFERROR(
  VALUE(C54) / COUNTA(_xlfn.FILTERXML("&lt;t&gt;&lt;s&gt;" &amp; SUBSTITUTE(B54, " / ", "&lt;/s&gt;&lt;s&gt;") &amp; "&lt;/s&gt;&lt;/t&gt;", "//s")),
  0
)</f>
        <v>0</v>
      </c>
      <c r="I54" s="98" cm="1">
        <f t="array" ref="I54">IFERROR(
  VALUE(H54) / COUNTA(_xlfn.FILTERXML("&lt;t&gt;&lt;s&gt;" &amp; SUBSTITUTE(G54, " / ", "&lt;/s&gt;&lt;s&gt;") &amp; "&lt;/s&gt;&lt;/t&gt;", "//s")),
  0
)</f>
        <v>0</v>
      </c>
    </row>
    <row r="55" spans="3:9" x14ac:dyDescent="0.25">
      <c r="D55" s="97" cm="1">
        <f t="array" ref="D55">IFERROR(
  VALUE(C55) / COUNTA(_xlfn.FILTERXML("&lt;t&gt;&lt;s&gt;" &amp; SUBSTITUTE(B55, " / ", "&lt;/s&gt;&lt;s&gt;") &amp; "&lt;/s&gt;&lt;/t&gt;", "//s")),
  0
)</f>
        <v>0</v>
      </c>
      <c r="I55" s="98" cm="1">
        <f t="array" ref="I55">IFERROR(
  VALUE(H55) / COUNTA(_xlfn.FILTERXML("&lt;t&gt;&lt;s&gt;" &amp; SUBSTITUTE(G55, " / ", "&lt;/s&gt;&lt;s&gt;") &amp; "&lt;/s&gt;&lt;/t&gt;", "//s")),
  0
)</f>
        <v>0</v>
      </c>
    </row>
    <row r="56" spans="3:9" x14ac:dyDescent="0.25">
      <c r="D56" s="97" cm="1">
        <f t="array" ref="D56">IFERROR(
  VALUE(C56) / COUNTA(_xlfn.FILTERXML("&lt;t&gt;&lt;s&gt;" &amp; SUBSTITUTE(B56, " / ", "&lt;/s&gt;&lt;s&gt;") &amp; "&lt;/s&gt;&lt;/t&gt;", "//s")),
  0
)</f>
        <v>0</v>
      </c>
      <c r="I56" s="98" cm="1">
        <f t="array" ref="I56">IFERROR(
  VALUE(H56) / COUNTA(_xlfn.FILTERXML("&lt;t&gt;&lt;s&gt;" &amp; SUBSTITUTE(G56, " / ", "&lt;/s&gt;&lt;s&gt;") &amp; "&lt;/s&gt;&lt;/t&gt;", "//s")),
  0
)</f>
        <v>0</v>
      </c>
    </row>
    <row r="57" spans="3:9" x14ac:dyDescent="0.25">
      <c r="D57" s="97" cm="1">
        <f t="array" ref="D57">IFERROR(
  VALUE(C57) / COUNTA(_xlfn.FILTERXML("&lt;t&gt;&lt;s&gt;" &amp; SUBSTITUTE(B57, " / ", "&lt;/s&gt;&lt;s&gt;") &amp; "&lt;/s&gt;&lt;/t&gt;", "//s")),
  0
)</f>
        <v>0</v>
      </c>
      <c r="I57" s="98" cm="1">
        <f t="array" ref="I57">IFERROR(
  VALUE(H57) / COUNTA(_xlfn.FILTERXML("&lt;t&gt;&lt;s&gt;" &amp; SUBSTITUTE(G57, " / ", "&lt;/s&gt;&lt;s&gt;") &amp; "&lt;/s&gt;&lt;/t&gt;", "//s")),
  0
)</f>
        <v>0</v>
      </c>
    </row>
    <row r="58" spans="3:9" x14ac:dyDescent="0.25">
      <c r="D58" s="97" cm="1">
        <f t="array" ref="D58">IFERROR(
  VALUE(C58) / COUNTA(_xlfn.FILTERXML("&lt;t&gt;&lt;s&gt;" &amp; SUBSTITUTE(B58, " / ", "&lt;/s&gt;&lt;s&gt;") &amp; "&lt;/s&gt;&lt;/t&gt;", "//s")),
  0
)</f>
        <v>0</v>
      </c>
      <c r="I58" s="98" cm="1">
        <f t="array" ref="I58">IFERROR(
  VALUE(H58) / COUNTA(_xlfn.FILTERXML("&lt;t&gt;&lt;s&gt;" &amp; SUBSTITUTE(G58, " / ", "&lt;/s&gt;&lt;s&gt;") &amp; "&lt;/s&gt;&lt;/t&gt;", "//s")),
  0
)</f>
        <v>0</v>
      </c>
    </row>
    <row r="59" spans="3:9" x14ac:dyDescent="0.25">
      <c r="D59" s="97" cm="1">
        <f t="array" ref="D59">IFERROR(
  VALUE(C59) / COUNTA(_xlfn.FILTERXML("&lt;t&gt;&lt;s&gt;" &amp; SUBSTITUTE(B59, " / ", "&lt;/s&gt;&lt;s&gt;") &amp; "&lt;/s&gt;&lt;/t&gt;", "//s")),
  0
)</f>
        <v>0</v>
      </c>
      <c r="I59" s="98" cm="1">
        <f t="array" ref="I59">IFERROR(
  VALUE(H59) / COUNTA(_xlfn.FILTERXML("&lt;t&gt;&lt;s&gt;" &amp; SUBSTITUTE(G59, " / ", "&lt;/s&gt;&lt;s&gt;") &amp; "&lt;/s&gt;&lt;/t&gt;", "//s")),
  0
)</f>
        <v>0</v>
      </c>
    </row>
    <row r="60" spans="3:9" x14ac:dyDescent="0.25">
      <c r="D60" s="97" cm="1">
        <f t="array" ref="D60">IFERROR(
  VALUE(C60) / COUNTA(_xlfn.FILTERXML("&lt;t&gt;&lt;s&gt;" &amp; SUBSTITUTE(B60, " / ", "&lt;/s&gt;&lt;s&gt;") &amp; "&lt;/s&gt;&lt;/t&gt;", "//s")),
  0
)</f>
        <v>0</v>
      </c>
      <c r="I60" s="98" cm="1">
        <f t="array" ref="I60">IFERROR(
  VALUE(H60) / COUNTA(_xlfn.FILTERXML("&lt;t&gt;&lt;s&gt;" &amp; SUBSTITUTE(G60, " / ", "&lt;/s&gt;&lt;s&gt;") &amp; "&lt;/s&gt;&lt;/t&gt;", "//s")),
  0
)</f>
        <v>0</v>
      </c>
    </row>
    <row r="62" spans="3:9" x14ac:dyDescent="0.25">
      <c r="C62" s="85" t="s">
        <v>194</v>
      </c>
      <c r="D62" s="101">
        <f>SUM(D3:D60)</f>
        <v>18885.833333333336</v>
      </c>
      <c r="H62" s="107" t="s">
        <v>198</v>
      </c>
      <c r="I62" s="98">
        <f>SUM(I3:I60)</f>
        <v>19497.166666666668</v>
      </c>
    </row>
    <row r="1048576" spans="4:4" x14ac:dyDescent="0.25">
      <c r="D1048576" s="102"/>
    </row>
  </sheetData>
  <conditionalFormatting sqref="A1:XFD1">
    <cfRule type="containsText" dxfId="58" priority="1" operator="containsText" text="REC: ">
      <formula>NOT(ISERROR(SEARCH("REC: ",A1)))</formula>
    </cfRule>
    <cfRule type="containsText" dxfId="57" priority="2" operator="containsText" text="MKT: ">
      <formula>NOT(ISERROR(SEARCH("MKT: ",A1)))</formula>
    </cfRule>
  </conditionalFormatting>
  <hyperlinks>
    <hyperlink ref="D3" location="'Recruiting Events'!A2" display="'Recruiting Events'!A2" xr:uid="{C328B7E9-4553-4428-9971-21920E32A341}"/>
    <hyperlink ref="D4" location="'Recruiting Events'!A48" display="Free" xr:uid="{FFFCC1ED-EA29-4CF9-9792-2BEF1171112A}"/>
    <hyperlink ref="D5" location="'MKT Events'!A70" display="'MKT Events'!A70" xr:uid="{95AB93B3-C16D-40DB-BEBC-A9619A36741E}"/>
    <hyperlink ref="D6" location="'MKT Events'!A146" display="'MKT Events'!A146" xr:uid="{03CA9276-CFBD-4781-9D6C-0751390BD93A}"/>
    <hyperlink ref="D7" location="'Recruiting Events'!A107" display="'Recruiting Events'!A107" xr:uid="{CDC17447-EA9C-47B6-AA97-5BD12A222029}"/>
    <hyperlink ref="D8" location="'Recruiting Events'!A185" display="'Recruiting Events'!A185" xr:uid="{19864374-4907-4D4D-A47D-1A2917038503}"/>
    <hyperlink ref="C10" location="'MKT Events'!A552" display="'MKT Events'!A552" xr:uid="{0709D689-B190-48F5-86A6-322FAA465F27}"/>
    <hyperlink ref="C9" location="'MKT Events'!A283" display="'MKT Events'!A283" xr:uid="{180FF9BB-3AE5-4F71-A358-008928B3AFC0}"/>
  </hyperlinks>
  <pageMargins left="0.7" right="0.7" top="0.75" bottom="0.75" header="0.3" footer="0.3"/>
  <drawing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A687-A130-4E22-8A83-6C1A842DF703}">
  <dimension ref="G1:L26"/>
  <sheetViews>
    <sheetView workbookViewId="0">
      <selection activeCell="L26" sqref="L26"/>
    </sheetView>
  </sheetViews>
  <sheetFormatPr defaultRowHeight="15" x14ac:dyDescent="0.25"/>
  <cols>
    <col min="1" max="6" width="9.140625" style="37"/>
    <col min="7" max="7" width="56" style="37" bestFit="1" customWidth="1"/>
    <col min="8" max="16384" width="9.140625" style="37"/>
  </cols>
  <sheetData>
    <row r="1" spans="7:10" x14ac:dyDescent="0.25">
      <c r="J1" s="37" t="s">
        <v>250</v>
      </c>
    </row>
    <row r="2" spans="7:10" x14ac:dyDescent="0.25">
      <c r="G2" s="148" t="s">
        <v>251</v>
      </c>
    </row>
    <row r="3" spans="7:10" x14ac:dyDescent="0.25">
      <c r="G3" s="149" t="s">
        <v>159</v>
      </c>
    </row>
    <row r="4" spans="7:10" x14ac:dyDescent="0.25">
      <c r="G4" s="150" t="s">
        <v>252</v>
      </c>
    </row>
    <row r="5" spans="7:10" x14ac:dyDescent="0.25">
      <c r="G5" s="149" t="s">
        <v>138</v>
      </c>
    </row>
    <row r="6" spans="7:10" x14ac:dyDescent="0.25">
      <c r="G6" s="150" t="s">
        <v>253</v>
      </c>
    </row>
    <row r="7" spans="7:10" x14ac:dyDescent="0.25">
      <c r="G7" s="149" t="s">
        <v>254</v>
      </c>
    </row>
    <row r="8" spans="7:10" x14ac:dyDescent="0.25">
      <c r="G8" s="149" t="s">
        <v>255</v>
      </c>
    </row>
    <row r="9" spans="7:10" x14ac:dyDescent="0.25">
      <c r="G9" s="150" t="s">
        <v>115</v>
      </c>
    </row>
    <row r="10" spans="7:10" x14ac:dyDescent="0.25">
      <c r="G10" s="150" t="s">
        <v>256</v>
      </c>
    </row>
    <row r="26" spans="12:12" x14ac:dyDescent="0.25">
      <c r="L26" s="37" t="s">
        <v>140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AAFDB-AB1C-4CC8-B2C3-F99BE982368E}">
  <dimension ref="A1:I1048576"/>
  <sheetViews>
    <sheetView workbookViewId="0">
      <pane ySplit="2" topLeftCell="A3" activePane="bottomLeft" state="frozen"/>
      <selection pane="bottomLeft" activeCell="G28" sqref="G28"/>
    </sheetView>
  </sheetViews>
  <sheetFormatPr defaultRowHeight="15" x14ac:dyDescent="0.25"/>
  <cols>
    <col min="1" max="1" width="54.28515625" style="67" bestFit="1" customWidth="1"/>
    <col min="2" max="2" width="25.5703125" style="69" bestFit="1" customWidth="1"/>
    <col min="3" max="3" width="19.5703125" style="70" customWidth="1"/>
    <col min="4" max="4" width="21.42578125" style="127" bestFit="1" customWidth="1"/>
    <col min="5" max="5" width="18.5703125" style="106" bestFit="1" customWidth="1"/>
    <col min="6" max="6" width="71.5703125" style="67" bestFit="1" customWidth="1"/>
    <col min="7" max="7" width="25.5703125" style="67" bestFit="1" customWidth="1"/>
    <col min="8" max="8" width="19.5703125" style="67" bestFit="1" customWidth="1"/>
    <col min="9" max="9" width="31.28515625" style="98" customWidth="1"/>
    <col min="10" max="16384" width="9.140625" style="10"/>
  </cols>
  <sheetData>
    <row r="1" spans="1:9" s="118" customFormat="1" ht="33" customHeight="1" thickBot="1" x14ac:dyDescent="0.3">
      <c r="A1" s="117"/>
      <c r="C1" s="119"/>
      <c r="D1" s="26"/>
      <c r="F1" s="120"/>
      <c r="G1" s="120"/>
      <c r="H1" s="120"/>
      <c r="I1" s="121"/>
    </row>
    <row r="2" spans="1:9" s="116" customFormat="1" ht="21.75" thickBot="1" x14ac:dyDescent="0.4">
      <c r="A2" s="113" t="s">
        <v>108</v>
      </c>
      <c r="B2" s="114" t="s">
        <v>168</v>
      </c>
      <c r="C2" s="115" t="s">
        <v>167</v>
      </c>
      <c r="D2" s="124" t="s">
        <v>166</v>
      </c>
      <c r="E2" s="122"/>
      <c r="F2" s="109" t="s">
        <v>108</v>
      </c>
      <c r="G2" s="110" t="s">
        <v>168</v>
      </c>
      <c r="H2" s="111" t="s">
        <v>167</v>
      </c>
      <c r="I2" s="112" t="s">
        <v>196</v>
      </c>
    </row>
    <row r="3" spans="1:9" x14ac:dyDescent="0.25">
      <c r="A3" s="72" t="str" cm="1">
        <f t="array" ref="A3:C13">_xlfn._xlws.FILTER(
  CHOOSE({1,2,3},
    Data!B2:B1000,
    Data!H2:H1000,
    Data!N2:N1000
  ),
  (ISNUMBER(SEARCH("Aleca", Data!H2:H1000))) *
  (Data!E2:E1000="Approved")
)</f>
        <v>AZ College of Nursing Job Fair</v>
      </c>
      <c r="B3" s="73" t="str">
        <v>Sante / Aleca</v>
      </c>
      <c r="C3" s="74">
        <v>100</v>
      </c>
      <c r="D3" s="125" cm="1">
        <f t="array" ref="D3">IFERROR(
  VALUE(C3) / COUNTA(_xlfn.FILTERXML("&lt;t&gt;&lt;s&gt;" &amp; SUBSTITUTE(B3, " / ", "&lt;/s&gt;&lt;s&gt;") &amp; "&lt;/s&gt;&lt;/t&gt;", "//s")),
  0
)</f>
        <v>50</v>
      </c>
      <c r="E3" s="105"/>
      <c r="F3" s="70" t="str" cm="1">
        <f t="array" ref="F3:H25">_xlfn._xlws.FILTER(
  CHOOSE({1,2,3},
    Data!B2:B1000,
    Data!H2:H1000,
    Data!N2:N1000
  ),
  (ISNUMBER(SEARCH("Aleca", Data!H2:H1000))) *
  (
    (Data!E2:E1000="Not Approved") +
    ISNUMBER(SEARCH("Pending", Data!E2:E1000)) +
    (Data!E2:E1000="Approved")
  )
)</f>
        <v>Annual Assembly Hospice &amp; Palliative Care (AAHPM)</v>
      </c>
      <c r="G3" s="67" t="str">
        <v xml:space="preserve">Alante / Aleca </v>
      </c>
      <c r="H3" s="67">
        <v>1520</v>
      </c>
      <c r="I3" s="98" cm="1">
        <f t="array" ref="I3">IFERROR(
  VALUE(H3) / COUNTA(_xlfn.FILTERXML("&lt;t&gt;&lt;s&gt;" &amp; SUBSTITUTE(G3, " / ", "&lt;/s&gt;&lt;s&gt;") &amp; "&lt;/s&gt;&lt;/t&gt;", "//s")),
  0
)</f>
        <v>760</v>
      </c>
    </row>
    <row r="4" spans="1:9" x14ac:dyDescent="0.25">
      <c r="A4" s="68" t="str">
        <v>GCU Healthcare Career Fair</v>
      </c>
      <c r="B4" s="69" t="str">
        <v>Sante / Aleca</v>
      </c>
      <c r="C4" s="70" t="str">
        <v>Free</v>
      </c>
      <c r="D4" s="126" t="s">
        <v>155</v>
      </c>
      <c r="E4" s="105"/>
      <c r="F4" s="70" t="str">
        <v>AZ College of Nursing Job Fair</v>
      </c>
      <c r="G4" s="67" t="str">
        <v>Sante / Aleca</v>
      </c>
      <c r="H4" s="67">
        <v>100</v>
      </c>
      <c r="I4" s="98" t="s">
        <v>155</v>
      </c>
    </row>
    <row r="5" spans="1:9" x14ac:dyDescent="0.25">
      <c r="A5" s="67" t="str">
        <v>ACMA AZ Chapter Event</v>
      </c>
      <c r="B5" s="69" t="str">
        <v>Alante / Aleca / Sante</v>
      </c>
      <c r="C5" s="70">
        <v>850</v>
      </c>
      <c r="D5" s="126" cm="1">
        <f t="array" ref="D5">IFERROR(
  VALUE(C5) / COUNTA(_xlfn.FILTERXML("&lt;t&gt;&lt;s&gt;" &amp; SUBSTITUTE(B5, " / ", "&lt;/s&gt;&lt;s&gt;") &amp; "&lt;/s&gt;&lt;/t&gt;", "//s")),
  0
)</f>
        <v>283.33333333333331</v>
      </c>
      <c r="E5" s="105"/>
      <c r="F5" s="70" t="str">
        <v>University of Arizona Health Professions Expo</v>
      </c>
      <c r="G5" s="67" t="str">
        <v>Alante / Aleca / Sante</v>
      </c>
      <c r="H5" s="67" t="str">
        <v>-</v>
      </c>
      <c r="I5" s="98" cm="1">
        <f t="array" ref="I5">IFERROR(
  VALUE(H5) / COUNTA(_xlfn.FILTERXML("&lt;t&gt;&lt;s&gt;" &amp; SUBSTITUTE(G5, " / ", "&lt;/s&gt;&lt;s&gt;") &amp; "&lt;/s&gt;&lt;/t&gt;", "//s")),
  0
)</f>
        <v>0</v>
      </c>
    </row>
    <row r="6" spans="1:9" x14ac:dyDescent="0.25">
      <c r="A6" s="68" t="str">
        <v>EVIT Power Campus Career Fair</v>
      </c>
      <c r="B6" s="69" t="str">
        <v>Sante / Aleca</v>
      </c>
      <c r="C6" s="70">
        <v>285</v>
      </c>
      <c r="D6" s="126" cm="1">
        <f t="array" ref="D6">IFERROR(
  VALUE(C6) / COUNTA(_xlfn.FILTERXML("&lt;t&gt;&lt;s&gt;" &amp; SUBSTITUTE(B6, " / ", "&lt;/s&gt;&lt;s&gt;") &amp; "&lt;/s&gt;&lt;/t&gt;", "//s")),
  0
)</f>
        <v>142.5</v>
      </c>
      <c r="E6" s="105"/>
      <c r="F6" s="70" t="str">
        <v>GCU Healthcare Career Fair</v>
      </c>
      <c r="G6" s="67" t="str">
        <v>Sante / Aleca</v>
      </c>
      <c r="H6" s="67" t="str">
        <v>Free</v>
      </c>
      <c r="I6" s="98" cm="1">
        <f t="array" ref="I6">IFERROR(
  VALUE(H6) / COUNTA(_xlfn.FILTERXML("&lt;t&gt;&lt;s&gt;" &amp; SUBSTITUTE(G6, " / ", "&lt;/s&gt;&lt;s&gt;") &amp; "&lt;/s&gt;&lt;/t&gt;", "//s")),
  0
)</f>
        <v>0</v>
      </c>
    </row>
    <row r="7" spans="1:9" x14ac:dyDescent="0.25">
      <c r="A7" s="67" t="str">
        <v>Gateway Community College OTA/PTA Career Fair</v>
      </c>
      <c r="B7" s="69" t="str">
        <v>Sante / Aleca</v>
      </c>
      <c r="C7" s="70">
        <v>335</v>
      </c>
      <c r="D7" s="126" cm="1">
        <f t="array" ref="D7">IFERROR(
  VALUE(C7) / COUNTA(_xlfn.FILTERXML("&lt;t&gt;&lt;s&gt;" &amp; SUBSTITUTE(B7, " / ", "&lt;/s&gt;&lt;s&gt;") &amp; "&lt;/s&gt;&lt;/t&gt;", "//s")),
  0
)</f>
        <v>167.5</v>
      </c>
      <c r="E7" s="105"/>
      <c r="F7" s="70" t="str">
        <v>ACMA AZ Chapter Event</v>
      </c>
      <c r="G7" s="67" t="str">
        <v>Alante / Aleca / Sante</v>
      </c>
      <c r="H7" s="67">
        <v>850</v>
      </c>
      <c r="I7" s="98" cm="1">
        <f t="array" ref="I7">IFERROR(
  VALUE(H7) / COUNTA(_xlfn.FILTERXML("&lt;t&gt;&lt;s&gt;" &amp; SUBSTITUTE(G7, " / ", "&lt;/s&gt;&lt;s&gt;") &amp; "&lt;/s&gt;&lt;/t&gt;", "//s")),
  0
)</f>
        <v>283.33333333333331</v>
      </c>
    </row>
    <row r="8" spans="1:9" x14ac:dyDescent="0.25">
      <c r="A8" s="68" t="str">
        <v>2025 George Rozsa Golf Classic</v>
      </c>
      <c r="B8" s="69" t="str">
        <v>Aleca</v>
      </c>
      <c r="C8" s="70">
        <v>8000</v>
      </c>
      <c r="D8" s="126" cm="1">
        <f t="array" ref="D8">IFERROR(
  VALUE(C8) / COUNTA(_xlfn.FILTERXML("&lt;t&gt;&lt;s&gt;" &amp; SUBSTITUTE(B8, " / ", "&lt;/s&gt;&lt;s&gt;") &amp; "&lt;/s&gt;&lt;/t&gt;", "//s")),
  0
)</f>
        <v>8000</v>
      </c>
      <c r="E8" s="105"/>
      <c r="F8" s="70" t="str">
        <v>EVIT Power Campus Career Fair</v>
      </c>
      <c r="G8" s="67" t="str">
        <v>Sante / Aleca</v>
      </c>
      <c r="H8" s="67">
        <v>285</v>
      </c>
      <c r="I8" s="98" cm="1">
        <f t="array" ref="I8">IFERROR(
  VALUE(H8) / COUNTA(_xlfn.FILTERXML("&lt;t&gt;&lt;s&gt;" &amp; SUBSTITUTE(G8, " / ", "&lt;/s&gt;&lt;s&gt;") &amp; "&lt;/s&gt;&lt;/t&gt;", "//s")),
  0
)</f>
        <v>142.5</v>
      </c>
    </row>
    <row r="9" spans="1:9" x14ac:dyDescent="0.25">
      <c r="A9" s="68" t="str">
        <v>EVIT Mesa Main Campus Career Fair</v>
      </c>
      <c r="B9" s="69" t="str">
        <v>Sante / Aleca</v>
      </c>
      <c r="C9" s="83">
        <v>285</v>
      </c>
      <c r="D9" s="123" cm="1">
        <f t="array" ref="D9">IFERROR(
  VALUE(C9) / COUNTA(_xlfn.FILTERXML("&lt;t&gt;&lt;s&gt;" &amp; SUBSTITUTE(B9, " / ", "&lt;/s&gt;&lt;s&gt;") &amp; "&lt;/s&gt;&lt;/t&gt;", "//s")),
  0
)</f>
        <v>142.5</v>
      </c>
      <c r="E9" s="105"/>
      <c r="F9" s="70" t="str">
        <v>Gateway Community College OTA/PTA Career Fair</v>
      </c>
      <c r="G9" s="67" t="str">
        <v>Sante / Aleca</v>
      </c>
      <c r="H9" s="67">
        <v>335</v>
      </c>
      <c r="I9" s="98" cm="1">
        <f t="array" ref="I9">IFERROR(
  VALUE(H9) / COUNTA(_xlfn.FILTERXML("&lt;t&gt;&lt;s&gt;" &amp; SUBSTITUTE(G9, " / ", "&lt;/s&gt;&lt;s&gt;") &amp; "&lt;/s&gt;&lt;/t&gt;", "//s")),
  0
)</f>
        <v>167.5</v>
      </c>
    </row>
    <row r="10" spans="1:9" x14ac:dyDescent="0.25">
      <c r="A10" s="67" t="str">
        <v>CMSA AZ Annual Conference</v>
      </c>
      <c r="B10" s="69" t="str">
        <v>Alante / Aleca</v>
      </c>
      <c r="C10" s="83">
        <v>1750</v>
      </c>
      <c r="D10" s="123" cm="1">
        <f t="array" ref="D10">IFERROR(
  VALUE(C10) / COUNTA(_xlfn.FILTERXML("&lt;t&gt;&lt;s&gt;" &amp; SUBSTITUTE(B10, " / ", "&lt;/s&gt;&lt;s&gt;") &amp; "&lt;/s&gt;&lt;/t&gt;", "//s")),
  0
)</f>
        <v>875</v>
      </c>
      <c r="F10" s="67" t="str">
        <v>Population Health Management Summit</v>
      </c>
      <c r="G10" s="67" t="str">
        <v>Alante / Aleca / Sante</v>
      </c>
      <c r="H10" s="67">
        <v>1025</v>
      </c>
      <c r="I10" s="98" cm="1">
        <f t="array" ref="I10">IFERROR(
  VALUE(H10) / COUNTA(_xlfn.FILTERXML("&lt;t&gt;&lt;s&gt;" &amp; SUBSTITUTE(G10, " / ", "&lt;/s&gt;&lt;s&gt;") &amp; "&lt;/s&gt;&lt;/t&gt;", "//s")),
  0
)</f>
        <v>341.66666666666669</v>
      </c>
    </row>
    <row r="11" spans="1:9" x14ac:dyDescent="0.25">
      <c r="A11" s="67" t="str">
        <v>Washington Health Care Association (WHCA) Annual Convention</v>
      </c>
      <c r="B11" s="69" t="str">
        <v>Encore / Aleca</v>
      </c>
      <c r="C11" s="70">
        <v>2600</v>
      </c>
      <c r="D11" s="123" cm="1">
        <f t="array" ref="D11">IFERROR(
  VALUE(C11) / COUNTA(_xlfn.FILTERXML("&lt;t&gt;&lt;s&gt;" &amp; SUBSTITUTE(B11, " / ", "&lt;/s&gt;&lt;s&gt;") &amp; "&lt;/s&gt;&lt;/t&gt;", "//s")),
  0
)</f>
        <v>1300</v>
      </c>
      <c r="F11" s="67" t="str">
        <v>2025 George Rozsa Golf Classic</v>
      </c>
      <c r="G11" s="67" t="str">
        <v>Aleca</v>
      </c>
      <c r="H11" s="67">
        <v>8000</v>
      </c>
      <c r="I11" s="98" cm="1">
        <f t="array" ref="I11">IFERROR(
  VALUE(H11) / COUNTA(_xlfn.FILTERXML("&lt;t&gt;&lt;s&gt;" &amp; SUBSTITUTE(G11, " / ", "&lt;/s&gt;&lt;s&gt;") &amp; "&lt;/s&gt;&lt;/t&gt;", "//s")),
  0
)</f>
        <v>8000</v>
      </c>
    </row>
    <row r="12" spans="1:9" x14ac:dyDescent="0.25">
      <c r="A12" s="67" t="str">
        <v>Arizona Health Care Association (AHCA) Convention &amp; Expo</v>
      </c>
      <c r="B12" s="69" t="str">
        <v>Alante / Aleca / Sante</v>
      </c>
      <c r="C12" s="70">
        <v>2550</v>
      </c>
      <c r="D12" s="123" cm="1">
        <f t="array" ref="D12">IFERROR(
  VALUE(C12) / COUNTA(_xlfn.FILTERXML("&lt;t&gt;&lt;s&gt;" &amp; SUBSTITUTE(B12, " / ", "&lt;/s&gt;&lt;s&gt;") &amp; "&lt;/s&gt;&lt;/t&gt;", "//s")),
  0
)</f>
        <v>850</v>
      </c>
      <c r="F12" s="67" t="str">
        <v>32'nd Annual Internal Medicine Review</v>
      </c>
      <c r="G12" s="67" t="str">
        <v>Alante / Aleca</v>
      </c>
      <c r="H12" s="67">
        <v>425</v>
      </c>
      <c r="I12" s="98" cm="1">
        <f t="array" ref="I12">IFERROR(
  VALUE(H12) / COUNTA(_xlfn.FILTERXML("&lt;t&gt;&lt;s&gt;" &amp; SUBSTITUTE(G12, " / ", "&lt;/s&gt;&lt;s&gt;") &amp; "&lt;/s&gt;&lt;/t&gt;", "//s")),
  0
)</f>
        <v>212.5</v>
      </c>
    </row>
    <row r="13" spans="1:9" x14ac:dyDescent="0.25">
      <c r="A13" s="67" t="str">
        <v>Arizona Association for Home Care (AAHC) Conference Expo</v>
      </c>
      <c r="B13" s="69" t="str">
        <v>Alante / Aleca</v>
      </c>
      <c r="C13" s="70">
        <v>2500</v>
      </c>
      <c r="D13" s="123" cm="1">
        <f t="array" ref="D13">IFERROR(
  VALUE(C13) / COUNTA(_xlfn.FILTERXML("&lt;t&gt;&lt;s&gt;" &amp; SUBSTITUTE(B13, " / ", "&lt;/s&gt;&lt;s&gt;") &amp; "&lt;/s&gt;&lt;/t&gt;", "//s")),
  0
)</f>
        <v>1250</v>
      </c>
      <c r="F13" s="67" t="str">
        <v>EVIT Mesa Main Campus Career Fair</v>
      </c>
      <c r="G13" s="67" t="str">
        <v>Sante / Aleca</v>
      </c>
      <c r="H13" s="67">
        <v>285</v>
      </c>
      <c r="I13" s="98" cm="1">
        <f t="array" ref="I13">IFERROR(
  VALUE(H13) / COUNTA(_xlfn.FILTERXML("&lt;t&gt;&lt;s&gt;" &amp; SUBSTITUTE(G13, " / ", "&lt;/s&gt;&lt;s&gt;") &amp; "&lt;/s&gt;&lt;/t&gt;", "//s")),
  0
)</f>
        <v>142.5</v>
      </c>
    </row>
    <row r="14" spans="1:9" x14ac:dyDescent="0.25">
      <c r="D14" s="123" cm="1">
        <f t="array" ref="D14">IFERROR(
  VALUE(C14) / COUNTA(_xlfn.FILTERXML("&lt;t&gt;&lt;s&gt;" &amp; SUBSTITUTE(B14, " / ", "&lt;/s&gt;&lt;s&gt;") &amp; "&lt;/s&gt;&lt;/t&gt;", "//s")),
  0
)</f>
        <v>0</v>
      </c>
      <c r="F14" s="67" t="str">
        <v>Seattle Nursing Research Workshop &amp; Conference</v>
      </c>
      <c r="G14" s="67" t="str">
        <v>Alante / Aleca / Encore</v>
      </c>
      <c r="H14" s="67">
        <v>275</v>
      </c>
      <c r="I14" s="98" cm="1">
        <f t="array" ref="I14">IFERROR(
  VALUE(H14) / COUNTA(_xlfn.FILTERXML("&lt;t&gt;&lt;s&gt;" &amp; SUBSTITUTE(G14, " / ", "&lt;/s&gt;&lt;s&gt;") &amp; "&lt;/s&gt;&lt;/t&gt;", "//s")),
  0
)</f>
        <v>91.666666666666671</v>
      </c>
    </row>
    <row r="15" spans="1:9" x14ac:dyDescent="0.25">
      <c r="D15" s="123" cm="1">
        <f t="array" ref="D15">IFERROR(
  VALUE(C15) / COUNTA(_xlfn.FILTERXML("&lt;t&gt;&lt;s&gt;" &amp; SUBSTITUTE(B15, " / ", "&lt;/s&gt;&lt;s&gt;") &amp; "&lt;/s&gt;&lt;/t&gt;", "//s")),
  0
)</f>
        <v>0</v>
      </c>
      <c r="F15" s="67" t="str">
        <v>CMSA AZ Annual Conference</v>
      </c>
      <c r="G15" s="67" t="str">
        <v>Alante / Aleca</v>
      </c>
      <c r="H15" s="67">
        <v>1750</v>
      </c>
      <c r="I15" s="98" cm="1">
        <f t="array" ref="I15">IFERROR(
  VALUE(H15) / COUNTA(_xlfn.FILTERXML("&lt;t&gt;&lt;s&gt;" &amp; SUBSTITUTE(G15, " / ", "&lt;/s&gt;&lt;s&gt;") &amp; "&lt;/s&gt;&lt;/t&gt;", "//s")),
  0
)</f>
        <v>875</v>
      </c>
    </row>
    <row r="16" spans="1:9" x14ac:dyDescent="0.25">
      <c r="D16" s="123" cm="1">
        <f t="array" ref="D16">IFERROR(
  VALUE(C16) / COUNTA(_xlfn.FILTERXML("&lt;t&gt;&lt;s&gt;" &amp; SUBSTITUTE(B16, " / ", "&lt;/s&gt;&lt;s&gt;") &amp; "&lt;/s&gt;&lt;/t&gt;", "//s")),
  0
)</f>
        <v>0</v>
      </c>
      <c r="F16" s="67" t="str">
        <v>Washington Health Care Association (WHCA) Annual Convention</v>
      </c>
      <c r="G16" s="67" t="str">
        <v>Encore / Aleca</v>
      </c>
      <c r="H16" s="67">
        <v>2600</v>
      </c>
      <c r="I16" s="98" cm="1">
        <f t="array" ref="I16">IFERROR(
  VALUE(H16) / COUNTA(_xlfn.FILTERXML("&lt;t&gt;&lt;s&gt;" &amp; SUBSTITUTE(G16, " / ", "&lt;/s&gt;&lt;s&gt;") &amp; "&lt;/s&gt;&lt;/t&gt;", "//s")),
  0
)</f>
        <v>1300</v>
      </c>
    </row>
    <row r="17" spans="4:9" x14ac:dyDescent="0.25">
      <c r="D17" s="123" cm="1">
        <f t="array" ref="D17">IFERROR(
  VALUE(C17) / COUNTA(_xlfn.FILTERXML("&lt;t&gt;&lt;s&gt;" &amp; SUBSTITUTE(B17, " / ", "&lt;/s&gt;&lt;s&gt;") &amp; "&lt;/s&gt;&lt;/t&gt;", "//s")),
  0
)</f>
        <v>0</v>
      </c>
      <c r="F17" s="67" t="str">
        <v>41st Annual Geriatric Care CNE Nursing Conference</v>
      </c>
      <c r="G17" s="67" t="str">
        <v xml:space="preserve">Alante / Aleca </v>
      </c>
      <c r="H17" s="67">
        <v>325</v>
      </c>
      <c r="I17" s="98" cm="1">
        <f t="array" ref="I17">IFERROR(
  VALUE(H17) / COUNTA(_xlfn.FILTERXML("&lt;t&gt;&lt;s&gt;" &amp; SUBSTITUTE(G17, " / ", "&lt;/s&gt;&lt;s&gt;") &amp; "&lt;/s&gt;&lt;/t&gt;", "//s")),
  0
)</f>
        <v>162.5</v>
      </c>
    </row>
    <row r="18" spans="4:9" x14ac:dyDescent="0.25">
      <c r="D18" s="123" cm="1">
        <f t="array" ref="D18">IFERROR(
  VALUE(C18) / COUNTA(_xlfn.FILTERXML("&lt;t&gt;&lt;s&gt;" &amp; SUBSTITUTE(B18, " / ", "&lt;/s&gt;&lt;s&gt;") &amp; "&lt;/s&gt;&lt;/t&gt;", "//s")),
  0
)</f>
        <v>0</v>
      </c>
      <c r="F18" s="67" t="str">
        <v>Arizona Health Care Association (AHCA) Convention &amp; Expo</v>
      </c>
      <c r="G18" s="67" t="str">
        <v>Alante / Aleca / Sante</v>
      </c>
      <c r="H18" s="67">
        <v>2550</v>
      </c>
      <c r="I18" s="98" cm="1">
        <f t="array" ref="I18">IFERROR(
  VALUE(H18) / COUNTA(_xlfn.FILTERXML("&lt;t&gt;&lt;s&gt;" &amp; SUBSTITUTE(G18, " / ", "&lt;/s&gt;&lt;s&gt;") &amp; "&lt;/s&gt;&lt;/t&gt;", "//s")),
  0
)</f>
        <v>850</v>
      </c>
    </row>
    <row r="19" spans="4:9" x14ac:dyDescent="0.25">
      <c r="D19" s="123" cm="1">
        <f t="array" ref="D19">IFERROR(
  VALUE(C19) / COUNTA(_xlfn.FILTERXML("&lt;t&gt;&lt;s&gt;" &amp; SUBSTITUTE(B19, " / ", "&lt;/s&gt;&lt;s&gt;") &amp; "&lt;/s&gt;&lt;/t&gt;", "//s")),
  0
)</f>
        <v>0</v>
      </c>
      <c r="F19" s="67" t="str">
        <v>2025 American Association of Nurse Practitioners (AANP) National Conference</v>
      </c>
      <c r="G19" s="67" t="str">
        <v xml:space="preserve">Alante / Aleca </v>
      </c>
      <c r="H19" s="67">
        <v>799</v>
      </c>
      <c r="I19" s="98" cm="1">
        <f t="array" ref="I19">IFERROR(
  VALUE(H19) / COUNTA(_xlfn.FILTERXML("&lt;t&gt;&lt;s&gt;" &amp; SUBSTITUTE(G19, " / ", "&lt;/s&gt;&lt;s&gt;") &amp; "&lt;/s&gt;&lt;/t&gt;", "//s")),
  0
)</f>
        <v>399.5</v>
      </c>
    </row>
    <row r="20" spans="4:9" x14ac:dyDescent="0.25">
      <c r="D20" s="123" cm="1">
        <f t="array" ref="D20">IFERROR(
  VALUE(C20) / COUNTA(_xlfn.FILTERXML("&lt;t&gt;&lt;s&gt;" &amp; SUBSTITUTE(B20, " / ", "&lt;/s&gt;&lt;s&gt;") &amp; "&lt;/s&gt;&lt;/t&gt;", "//s")),
  0
)</f>
        <v>0</v>
      </c>
      <c r="F20" s="67" t="str">
        <v>Arizona Association for Home Care (AAHC) Conference Expo</v>
      </c>
      <c r="G20" s="67" t="str">
        <v>Alante / Aleca</v>
      </c>
      <c r="H20" s="67">
        <v>2500</v>
      </c>
      <c r="I20" s="98" cm="1">
        <f t="array" ref="I20">IFERROR(
  VALUE(H20) / COUNTA(_xlfn.FILTERXML("&lt;t&gt;&lt;s&gt;" &amp; SUBSTITUTE(G20, " / ", "&lt;/s&gt;&lt;s&gt;") &amp; "&lt;/s&gt;&lt;/t&gt;", "//s")),
  0
)</f>
        <v>1250</v>
      </c>
    </row>
    <row r="21" spans="4:9" x14ac:dyDescent="0.25">
      <c r="D21" s="123" cm="1">
        <f t="array" ref="D21">IFERROR(
  VALUE(C21) / COUNTA(_xlfn.FILTERXML("&lt;t&gt;&lt;s&gt;" &amp; SUBSTITUTE(B21, " / ", "&lt;/s&gt;&lt;s&gt;") &amp; "&lt;/s&gt;&lt;/t&gt;", "//s")),
  0
)</f>
        <v>0</v>
      </c>
      <c r="F21" s="67" t="str">
        <v>Association of Rehabilitation Nurses (ARN) Annual Conference</v>
      </c>
      <c r="G21" s="67" t="str">
        <v>Alante / Aleca / Sante</v>
      </c>
      <c r="H21" s="67">
        <v>809</v>
      </c>
      <c r="I21" s="98" cm="1">
        <f t="array" ref="I21">IFERROR(
  VALUE(H21) / COUNTA(_xlfn.FILTERXML("&lt;t&gt;&lt;s&gt;" &amp; SUBSTITUTE(G21, " / ", "&lt;/s&gt;&lt;s&gt;") &amp; "&lt;/s&gt;&lt;/t&gt;", "//s")),
  0
)</f>
        <v>269.66666666666669</v>
      </c>
    </row>
    <row r="22" spans="4:9" x14ac:dyDescent="0.25">
      <c r="D22" s="123" cm="1">
        <f t="array" ref="D22">IFERROR(
  VALUE(C22) / COUNTA(_xlfn.FILTERXML("&lt;t&gt;&lt;s&gt;" &amp; SUBSTITUTE(B22, " / ", "&lt;/s&gt;&lt;s&gt;") &amp; "&lt;/s&gt;&lt;/t&gt;", "//s")),
  0
)</f>
        <v>0</v>
      </c>
      <c r="F22" s="67" t="str">
        <v>Oregon Health Care Association (OHCA)</v>
      </c>
      <c r="G22" s="67" t="str">
        <v>Alante / Aleca</v>
      </c>
      <c r="H22" s="67">
        <v>3000</v>
      </c>
      <c r="I22" s="98" cm="1">
        <f t="array" ref="I22">IFERROR(
  VALUE(H22) / COUNTA(_xlfn.FILTERXML("&lt;t&gt;&lt;s&gt;" &amp; SUBSTITUTE(G22, " / ", "&lt;/s&gt;&lt;s&gt;") &amp; "&lt;/s&gt;&lt;/t&gt;", "//s")),
  0
)</f>
        <v>1500</v>
      </c>
    </row>
    <row r="23" spans="4:9" x14ac:dyDescent="0.25">
      <c r="D23" s="123" cm="1">
        <f t="array" ref="D23">IFERROR(
  VALUE(C23) / COUNTA(_xlfn.FILTERXML("&lt;t&gt;&lt;s&gt;" &amp; SUBSTITUTE(B23, " / ", "&lt;/s&gt;&lt;s&gt;") &amp; "&lt;/s&gt;&lt;/t&gt;", "//s")),
  0
)</f>
        <v>0</v>
      </c>
      <c r="F23" s="67" t="str">
        <v>Hospital Association of OR 2025 Annual Member Meeting</v>
      </c>
      <c r="G23" s="67" t="str">
        <v xml:space="preserve">Alante / Aleca </v>
      </c>
      <c r="H23" s="67">
        <v>0</v>
      </c>
      <c r="I23" s="98" cm="1">
        <f t="array" ref="I23">IFERROR(
  VALUE(H23) / COUNTA(_xlfn.FILTERXML("&lt;t&gt;&lt;s&gt;" &amp; SUBSTITUTE(G23, " / ", "&lt;/s&gt;&lt;s&gt;") &amp; "&lt;/s&gt;&lt;/t&gt;", "//s")),
  0
)</f>
        <v>0</v>
      </c>
    </row>
    <row r="24" spans="4:9" x14ac:dyDescent="0.25">
      <c r="D24" s="123" cm="1">
        <f t="array" ref="D24">IFERROR(
  VALUE(C24) / COUNTA(_xlfn.FILTERXML("&lt;t&gt;&lt;s&gt;" &amp; SUBSTITUTE(B24, " / ", "&lt;/s&gt;&lt;s&gt;") &amp; "&lt;/s&gt;&lt;/t&gt;", "//s")),
  0
)</f>
        <v>0</v>
      </c>
      <c r="F24" s="67" t="str">
        <v>Annual Leadership Conference (AZHHA)</v>
      </c>
      <c r="G24" s="67" t="str">
        <v>Alante / Aleca / Sante</v>
      </c>
      <c r="H24" s="67">
        <v>0</v>
      </c>
      <c r="I24" s="98" cm="1">
        <f t="array" ref="I24">IFERROR(
  VALUE(H24) / COUNTA(_xlfn.FILTERXML("&lt;t&gt;&lt;s&gt;" &amp; SUBSTITUTE(G24, " / ", "&lt;/s&gt;&lt;s&gt;") &amp; "&lt;/s&gt;&lt;/t&gt;", "//s")),
  0
)</f>
        <v>0</v>
      </c>
    </row>
    <row r="25" spans="4:9" x14ac:dyDescent="0.25">
      <c r="D25" s="123" cm="1">
        <f t="array" ref="D25">IFERROR(
  VALUE(C25) / COUNTA(_xlfn.FILTERXML("&lt;t&gt;&lt;s&gt;" &amp; SUBSTITUTE(B25, " / ", "&lt;/s&gt;&lt;s&gt;") &amp; "&lt;/s&gt;&lt;/t&gt;", "//s")),
  0
)</f>
        <v>0</v>
      </c>
      <c r="F25" s="67" t="str">
        <v>Banner Ball: A Celebration of Caring and Cures</v>
      </c>
      <c r="G25" s="67" t="str">
        <v>Alante / Aleca / Sante</v>
      </c>
      <c r="H25" s="67">
        <v>0</v>
      </c>
      <c r="I25" s="98" cm="1">
        <f t="array" ref="I25">IFERROR(
  VALUE(H25) / COUNTA(_xlfn.FILTERXML("&lt;t&gt;&lt;s&gt;" &amp; SUBSTITUTE(G25, " / ", "&lt;/s&gt;&lt;s&gt;") &amp; "&lt;/s&gt;&lt;/t&gt;", "//s")),
  0
)</f>
        <v>0</v>
      </c>
    </row>
    <row r="26" spans="4:9" x14ac:dyDescent="0.25">
      <c r="D26" s="123" cm="1">
        <f t="array" ref="D26">IFERROR(
  VALUE(C26) / COUNTA(_xlfn.FILTERXML("&lt;t&gt;&lt;s&gt;" &amp; SUBSTITUTE(B26, " / ", "&lt;/s&gt;&lt;s&gt;") &amp; "&lt;/s&gt;&lt;/t&gt;", "//s")),
  0
)</f>
        <v>0</v>
      </c>
      <c r="I26" s="98" cm="1">
        <f t="array" ref="I26">IFERROR(
  VALUE(H26) / COUNTA(_xlfn.FILTERXML("&lt;t&gt;&lt;s&gt;" &amp; SUBSTITUTE(G26, " / ", "&lt;/s&gt;&lt;s&gt;") &amp; "&lt;/s&gt;&lt;/t&gt;", "//s")),
  0
)</f>
        <v>0</v>
      </c>
    </row>
    <row r="27" spans="4:9" x14ac:dyDescent="0.25">
      <c r="D27" s="123" cm="1">
        <f t="array" ref="D27">IFERROR(
  VALUE(C27) / COUNTA(_xlfn.FILTERXML("&lt;t&gt;&lt;s&gt;" &amp; SUBSTITUTE(B27, " / ", "&lt;/s&gt;&lt;s&gt;") &amp; "&lt;/s&gt;&lt;/t&gt;", "//s")),
  0
)</f>
        <v>0</v>
      </c>
      <c r="I27" s="98" cm="1">
        <f t="array" ref="I27">IFERROR(
  VALUE(H27) / COUNTA(_xlfn.FILTERXML("&lt;t&gt;&lt;s&gt;" &amp; SUBSTITUTE(G27, " / ", "&lt;/s&gt;&lt;s&gt;") &amp; "&lt;/s&gt;&lt;/t&gt;", "//s")),
  0
)</f>
        <v>0</v>
      </c>
    </row>
    <row r="28" spans="4:9" x14ac:dyDescent="0.25">
      <c r="D28" s="123" cm="1">
        <f t="array" ref="D28">IFERROR(
  VALUE(C28) / COUNTA(_xlfn.FILTERXML("&lt;t&gt;&lt;s&gt;" &amp; SUBSTITUTE(B28, " / ", "&lt;/s&gt;&lt;s&gt;") &amp; "&lt;/s&gt;&lt;/t&gt;", "//s")),
  0
)</f>
        <v>0</v>
      </c>
      <c r="I28" s="98" cm="1">
        <f t="array" ref="I28">IFERROR(
  VALUE(H28) / COUNTA(_xlfn.FILTERXML("&lt;t&gt;&lt;s&gt;" &amp; SUBSTITUTE(G28, " / ", "&lt;/s&gt;&lt;s&gt;") &amp; "&lt;/s&gt;&lt;/t&gt;", "//s")),
  0
)</f>
        <v>0</v>
      </c>
    </row>
    <row r="29" spans="4:9" x14ac:dyDescent="0.25">
      <c r="D29" s="123" cm="1">
        <f t="array" ref="D29">IFERROR(
  VALUE(C29) / COUNTA(_xlfn.FILTERXML("&lt;t&gt;&lt;s&gt;" &amp; SUBSTITUTE(B29, " / ", "&lt;/s&gt;&lt;s&gt;") &amp; "&lt;/s&gt;&lt;/t&gt;", "//s")),
  0
)</f>
        <v>0</v>
      </c>
      <c r="I29" s="98" cm="1">
        <f t="array" ref="I29">IFERROR(
  VALUE(H29) / COUNTA(_xlfn.FILTERXML("&lt;t&gt;&lt;s&gt;" &amp; SUBSTITUTE(G29, " / ", "&lt;/s&gt;&lt;s&gt;") &amp; "&lt;/s&gt;&lt;/t&gt;", "//s")),
  0
)</f>
        <v>0</v>
      </c>
    </row>
    <row r="30" spans="4:9" x14ac:dyDescent="0.25">
      <c r="D30" s="123" cm="1">
        <f t="array" ref="D30">IFERROR(
  VALUE(C30) / COUNTA(_xlfn.FILTERXML("&lt;t&gt;&lt;s&gt;" &amp; SUBSTITUTE(B30, " / ", "&lt;/s&gt;&lt;s&gt;") &amp; "&lt;/s&gt;&lt;/t&gt;", "//s")),
  0
)</f>
        <v>0</v>
      </c>
      <c r="I30" s="98" cm="1">
        <f t="array" ref="I30">IFERROR(
  VALUE(H30) / COUNTA(_xlfn.FILTERXML("&lt;t&gt;&lt;s&gt;" &amp; SUBSTITUTE(G30, " / ", "&lt;/s&gt;&lt;s&gt;") &amp; "&lt;/s&gt;&lt;/t&gt;", "//s")),
  0
)</f>
        <v>0</v>
      </c>
    </row>
    <row r="31" spans="4:9" x14ac:dyDescent="0.25">
      <c r="D31" s="123" cm="1">
        <f t="array" ref="D31">IFERROR(
  VALUE(C31) / COUNTA(_xlfn.FILTERXML("&lt;t&gt;&lt;s&gt;" &amp; SUBSTITUTE(B31, " / ", "&lt;/s&gt;&lt;s&gt;") &amp; "&lt;/s&gt;&lt;/t&gt;", "//s")),
  0
)</f>
        <v>0</v>
      </c>
      <c r="I31" s="98" cm="1">
        <f t="array" ref="I31">IFERROR(
  VALUE(H31) / COUNTA(_xlfn.FILTERXML("&lt;t&gt;&lt;s&gt;" &amp; SUBSTITUTE(G31, " / ", "&lt;/s&gt;&lt;s&gt;") &amp; "&lt;/s&gt;&lt;/t&gt;", "//s")),
  0
)</f>
        <v>0</v>
      </c>
    </row>
    <row r="32" spans="4:9" x14ac:dyDescent="0.25">
      <c r="D32" s="123" cm="1">
        <f t="array" ref="D32">IFERROR(
  VALUE(C32) / COUNTA(_xlfn.FILTERXML("&lt;t&gt;&lt;s&gt;" &amp; SUBSTITUTE(B32, " / ", "&lt;/s&gt;&lt;s&gt;") &amp; "&lt;/s&gt;&lt;/t&gt;", "//s")),
  0
)</f>
        <v>0</v>
      </c>
      <c r="I32" s="98" cm="1">
        <f t="array" ref="I32">IFERROR(
  VALUE(H32) / COUNTA(_xlfn.FILTERXML("&lt;t&gt;&lt;s&gt;" &amp; SUBSTITUTE(G32, " / ", "&lt;/s&gt;&lt;s&gt;") &amp; "&lt;/s&gt;&lt;/t&gt;", "//s")),
  0
)</f>
        <v>0</v>
      </c>
    </row>
    <row r="33" spans="4:9" x14ac:dyDescent="0.25">
      <c r="D33" s="123" cm="1">
        <f t="array" ref="D33">IFERROR(
  VALUE(C33) / COUNTA(_xlfn.FILTERXML("&lt;t&gt;&lt;s&gt;" &amp; SUBSTITUTE(B33, " / ", "&lt;/s&gt;&lt;s&gt;") &amp; "&lt;/s&gt;&lt;/t&gt;", "//s")),
  0
)</f>
        <v>0</v>
      </c>
      <c r="I33" s="98" cm="1">
        <f t="array" ref="I33">IFERROR(
  VALUE(H33) / COUNTA(_xlfn.FILTERXML("&lt;t&gt;&lt;s&gt;" &amp; SUBSTITUTE(G33, " / ", "&lt;/s&gt;&lt;s&gt;") &amp; "&lt;/s&gt;&lt;/t&gt;", "//s")),
  0
)</f>
        <v>0</v>
      </c>
    </row>
    <row r="34" spans="4:9" x14ac:dyDescent="0.25">
      <c r="D34" s="123" cm="1">
        <f t="array" ref="D34">IFERROR(
  VALUE(C34) / COUNTA(_xlfn.FILTERXML("&lt;t&gt;&lt;s&gt;" &amp; SUBSTITUTE(B34, " / ", "&lt;/s&gt;&lt;s&gt;") &amp; "&lt;/s&gt;&lt;/t&gt;", "//s")),
  0
)</f>
        <v>0</v>
      </c>
      <c r="I34" s="98" cm="1">
        <f t="array" ref="I34">IFERROR(
  VALUE(H34) / COUNTA(_xlfn.FILTERXML("&lt;t&gt;&lt;s&gt;" &amp; SUBSTITUTE(G34, " / ", "&lt;/s&gt;&lt;s&gt;") &amp; "&lt;/s&gt;&lt;/t&gt;", "//s")),
  0
)</f>
        <v>0</v>
      </c>
    </row>
    <row r="35" spans="4:9" x14ac:dyDescent="0.25">
      <c r="D35" s="123" cm="1">
        <f t="array" ref="D35">IFERROR(
  VALUE(C35) / COUNTA(_xlfn.FILTERXML("&lt;t&gt;&lt;s&gt;" &amp; SUBSTITUTE(B35, " / ", "&lt;/s&gt;&lt;s&gt;") &amp; "&lt;/s&gt;&lt;/t&gt;", "//s")),
  0
)</f>
        <v>0</v>
      </c>
      <c r="I35" s="98" cm="1">
        <f t="array" ref="I35">IFERROR(
  VALUE(H35) / COUNTA(_xlfn.FILTERXML("&lt;t&gt;&lt;s&gt;" &amp; SUBSTITUTE(G35, " / ", "&lt;/s&gt;&lt;s&gt;") &amp; "&lt;/s&gt;&lt;/t&gt;", "//s")),
  0
)</f>
        <v>0</v>
      </c>
    </row>
    <row r="36" spans="4:9" x14ac:dyDescent="0.25">
      <c r="D36" s="123" cm="1">
        <f t="array" ref="D36">IFERROR(
  VALUE(C36) / COUNTA(_xlfn.FILTERXML("&lt;t&gt;&lt;s&gt;" &amp; SUBSTITUTE(B36, " / ", "&lt;/s&gt;&lt;s&gt;") &amp; "&lt;/s&gt;&lt;/t&gt;", "//s")),
  0
)</f>
        <v>0</v>
      </c>
      <c r="I36" s="98" cm="1">
        <f t="array" ref="I36">IFERROR(
  VALUE(H36) / COUNTA(_xlfn.FILTERXML("&lt;t&gt;&lt;s&gt;" &amp; SUBSTITUTE(G36, " / ", "&lt;/s&gt;&lt;s&gt;") &amp; "&lt;/s&gt;&lt;/t&gt;", "//s")),
  0
)</f>
        <v>0</v>
      </c>
    </row>
    <row r="37" spans="4:9" x14ac:dyDescent="0.25">
      <c r="D37" s="123" cm="1">
        <f t="array" ref="D37">IFERROR(
  VALUE(C37) / COUNTA(_xlfn.FILTERXML("&lt;t&gt;&lt;s&gt;" &amp; SUBSTITUTE(B37, " / ", "&lt;/s&gt;&lt;s&gt;") &amp; "&lt;/s&gt;&lt;/t&gt;", "//s")),
  0
)</f>
        <v>0</v>
      </c>
      <c r="I37" s="98" cm="1">
        <f t="array" ref="I37">IFERROR(
  VALUE(H37) / COUNTA(_xlfn.FILTERXML("&lt;t&gt;&lt;s&gt;" &amp; SUBSTITUTE(G37, " / ", "&lt;/s&gt;&lt;s&gt;") &amp; "&lt;/s&gt;&lt;/t&gt;", "//s")),
  0
)</f>
        <v>0</v>
      </c>
    </row>
    <row r="38" spans="4:9" x14ac:dyDescent="0.25">
      <c r="D38" s="123" cm="1">
        <f t="array" ref="D38">IFERROR(
  VALUE(C38) / COUNTA(_xlfn.FILTERXML("&lt;t&gt;&lt;s&gt;" &amp; SUBSTITUTE(B38, " / ", "&lt;/s&gt;&lt;s&gt;") &amp; "&lt;/s&gt;&lt;/t&gt;", "//s")),
  0
)</f>
        <v>0</v>
      </c>
      <c r="I38" s="98" cm="1">
        <f t="array" ref="I38">IFERROR(
  VALUE(H38) / COUNTA(_xlfn.FILTERXML("&lt;t&gt;&lt;s&gt;" &amp; SUBSTITUTE(G38, " / ", "&lt;/s&gt;&lt;s&gt;") &amp; "&lt;/s&gt;&lt;/t&gt;", "//s")),
  0
)</f>
        <v>0</v>
      </c>
    </row>
    <row r="39" spans="4:9" x14ac:dyDescent="0.25">
      <c r="D39" s="123" cm="1">
        <f t="array" ref="D39">IFERROR(
  VALUE(C39) / COUNTA(_xlfn.FILTERXML("&lt;t&gt;&lt;s&gt;" &amp; SUBSTITUTE(B39, " / ", "&lt;/s&gt;&lt;s&gt;") &amp; "&lt;/s&gt;&lt;/t&gt;", "//s")),
  0
)</f>
        <v>0</v>
      </c>
      <c r="I39" s="98" cm="1">
        <f t="array" ref="I39">IFERROR(
  VALUE(H39) / COUNTA(_xlfn.FILTERXML("&lt;t&gt;&lt;s&gt;" &amp; SUBSTITUTE(G39, " / ", "&lt;/s&gt;&lt;s&gt;") &amp; "&lt;/s&gt;&lt;/t&gt;", "//s")),
  0
)</f>
        <v>0</v>
      </c>
    </row>
    <row r="40" spans="4:9" x14ac:dyDescent="0.25">
      <c r="D40" s="123" cm="1">
        <f t="array" ref="D40">IFERROR(
  VALUE(C40) / COUNTA(_xlfn.FILTERXML("&lt;t&gt;&lt;s&gt;" &amp; SUBSTITUTE(B40, " / ", "&lt;/s&gt;&lt;s&gt;") &amp; "&lt;/s&gt;&lt;/t&gt;", "//s")),
  0
)</f>
        <v>0</v>
      </c>
      <c r="I40" s="98" cm="1">
        <f t="array" ref="I40">IFERROR(
  VALUE(H40) / COUNTA(_xlfn.FILTERXML("&lt;t&gt;&lt;s&gt;" &amp; SUBSTITUTE(G40, " / ", "&lt;/s&gt;&lt;s&gt;") &amp; "&lt;/s&gt;&lt;/t&gt;", "//s")),
  0
)</f>
        <v>0</v>
      </c>
    </row>
    <row r="41" spans="4:9" x14ac:dyDescent="0.25">
      <c r="D41" s="123" cm="1">
        <f t="array" ref="D41">IFERROR(
  VALUE(C41) / COUNTA(_xlfn.FILTERXML("&lt;t&gt;&lt;s&gt;" &amp; SUBSTITUTE(B41, " / ", "&lt;/s&gt;&lt;s&gt;") &amp; "&lt;/s&gt;&lt;/t&gt;", "//s")),
  0
)</f>
        <v>0</v>
      </c>
      <c r="I41" s="98" cm="1">
        <f t="array" ref="I41">IFERROR(
  VALUE(H41) / COUNTA(_xlfn.FILTERXML("&lt;t&gt;&lt;s&gt;" &amp; SUBSTITUTE(G41, " / ", "&lt;/s&gt;&lt;s&gt;") &amp; "&lt;/s&gt;&lt;/t&gt;", "//s")),
  0
)</f>
        <v>0</v>
      </c>
    </row>
    <row r="42" spans="4:9" x14ac:dyDescent="0.25">
      <c r="D42" s="123" cm="1">
        <f t="array" ref="D42">IFERROR(
  VALUE(C42) / COUNTA(_xlfn.FILTERXML("&lt;t&gt;&lt;s&gt;" &amp; SUBSTITUTE(B42, " / ", "&lt;/s&gt;&lt;s&gt;") &amp; "&lt;/s&gt;&lt;/t&gt;", "//s")),
  0
)</f>
        <v>0</v>
      </c>
      <c r="I42" s="98" cm="1">
        <f t="array" ref="I42">IFERROR(
  VALUE(H42) / COUNTA(_xlfn.FILTERXML("&lt;t&gt;&lt;s&gt;" &amp; SUBSTITUTE(G42, " / ", "&lt;/s&gt;&lt;s&gt;") &amp; "&lt;/s&gt;&lt;/t&gt;", "//s")),
  0
)</f>
        <v>0</v>
      </c>
    </row>
    <row r="43" spans="4:9" x14ac:dyDescent="0.25">
      <c r="D43" s="123" cm="1">
        <f t="array" ref="D43">IFERROR(
  VALUE(C43) / COUNTA(_xlfn.FILTERXML("&lt;t&gt;&lt;s&gt;" &amp; SUBSTITUTE(B43, " / ", "&lt;/s&gt;&lt;s&gt;") &amp; "&lt;/s&gt;&lt;/t&gt;", "//s")),
  0
)</f>
        <v>0</v>
      </c>
      <c r="I43" s="98" cm="1">
        <f t="array" ref="I43">IFERROR(
  VALUE(H43) / COUNTA(_xlfn.FILTERXML("&lt;t&gt;&lt;s&gt;" &amp; SUBSTITUTE(G43, " / ", "&lt;/s&gt;&lt;s&gt;") &amp; "&lt;/s&gt;&lt;/t&gt;", "//s")),
  0
)</f>
        <v>0</v>
      </c>
    </row>
    <row r="44" spans="4:9" x14ac:dyDescent="0.25">
      <c r="D44" s="123" cm="1">
        <f t="array" ref="D44">IFERROR(
  VALUE(C44) / COUNTA(_xlfn.FILTERXML("&lt;t&gt;&lt;s&gt;" &amp; SUBSTITUTE(B44, " / ", "&lt;/s&gt;&lt;s&gt;") &amp; "&lt;/s&gt;&lt;/t&gt;", "//s")),
  0
)</f>
        <v>0</v>
      </c>
      <c r="I44" s="98" cm="1">
        <f t="array" ref="I44">IFERROR(
  VALUE(H44) / COUNTA(_xlfn.FILTERXML("&lt;t&gt;&lt;s&gt;" &amp; SUBSTITUTE(G44, " / ", "&lt;/s&gt;&lt;s&gt;") &amp; "&lt;/s&gt;&lt;/t&gt;", "//s")),
  0
)</f>
        <v>0</v>
      </c>
    </row>
    <row r="45" spans="4:9" x14ac:dyDescent="0.25">
      <c r="D45" s="123" cm="1">
        <f t="array" ref="D45">IFERROR(
  VALUE(C45) / COUNTA(_xlfn.FILTERXML("&lt;t&gt;&lt;s&gt;" &amp; SUBSTITUTE(B45, " / ", "&lt;/s&gt;&lt;s&gt;") &amp; "&lt;/s&gt;&lt;/t&gt;", "//s")),
  0
)</f>
        <v>0</v>
      </c>
      <c r="I45" s="98" cm="1">
        <f t="array" ref="I45">IFERROR(
  VALUE(H45) / COUNTA(_xlfn.FILTERXML("&lt;t&gt;&lt;s&gt;" &amp; SUBSTITUTE(G45, " / ", "&lt;/s&gt;&lt;s&gt;") &amp; "&lt;/s&gt;&lt;/t&gt;", "//s")),
  0
)</f>
        <v>0</v>
      </c>
    </row>
    <row r="46" spans="4:9" x14ac:dyDescent="0.25">
      <c r="D46" s="123" cm="1">
        <f t="array" ref="D46">IFERROR(
  VALUE(C46) / COUNTA(_xlfn.FILTERXML("&lt;t&gt;&lt;s&gt;" &amp; SUBSTITUTE(B46, " / ", "&lt;/s&gt;&lt;s&gt;") &amp; "&lt;/s&gt;&lt;/t&gt;", "//s")),
  0
)</f>
        <v>0</v>
      </c>
      <c r="I46" s="98" cm="1">
        <f t="array" ref="I46">IFERROR(
  VALUE(H46) / COUNTA(_xlfn.FILTERXML("&lt;t&gt;&lt;s&gt;" &amp; SUBSTITUTE(G46, " / ", "&lt;/s&gt;&lt;s&gt;") &amp; "&lt;/s&gt;&lt;/t&gt;", "//s")),
  0
)</f>
        <v>0</v>
      </c>
    </row>
    <row r="47" spans="4:9" x14ac:dyDescent="0.25">
      <c r="D47" s="123" cm="1">
        <f t="array" ref="D47">IFERROR(
  VALUE(C47) / COUNTA(_xlfn.FILTERXML("&lt;t&gt;&lt;s&gt;" &amp; SUBSTITUTE(B47, " / ", "&lt;/s&gt;&lt;s&gt;") &amp; "&lt;/s&gt;&lt;/t&gt;", "//s")),
  0
)</f>
        <v>0</v>
      </c>
      <c r="I47" s="98" cm="1">
        <f t="array" ref="I47">IFERROR(
  VALUE(H47) / COUNTA(_xlfn.FILTERXML("&lt;t&gt;&lt;s&gt;" &amp; SUBSTITUTE(G47, " / ", "&lt;/s&gt;&lt;s&gt;") &amp; "&lt;/s&gt;&lt;/t&gt;", "//s")),
  0
)</f>
        <v>0</v>
      </c>
    </row>
    <row r="48" spans="4:9" x14ac:dyDescent="0.25">
      <c r="D48" s="123" cm="1">
        <f t="array" ref="D48">IFERROR(
  VALUE(C48) / COUNTA(_xlfn.FILTERXML("&lt;t&gt;&lt;s&gt;" &amp; SUBSTITUTE(B48, " / ", "&lt;/s&gt;&lt;s&gt;") &amp; "&lt;/s&gt;&lt;/t&gt;", "//s")),
  0
)</f>
        <v>0</v>
      </c>
      <c r="I48" s="98" cm="1">
        <f t="array" ref="I48">IFERROR(
  VALUE(H48) / COUNTA(_xlfn.FILTERXML("&lt;t&gt;&lt;s&gt;" &amp; SUBSTITUTE(G48, " / ", "&lt;/s&gt;&lt;s&gt;") &amp; "&lt;/s&gt;&lt;/t&gt;", "//s")),
  0
)</f>
        <v>0</v>
      </c>
    </row>
    <row r="49" spans="3:9" x14ac:dyDescent="0.25">
      <c r="D49" s="123" cm="1">
        <f t="array" ref="D49">IFERROR(
  VALUE(C49) / COUNTA(_xlfn.FILTERXML("&lt;t&gt;&lt;s&gt;" &amp; SUBSTITUTE(B49, " / ", "&lt;/s&gt;&lt;s&gt;") &amp; "&lt;/s&gt;&lt;/t&gt;", "//s")),
  0
)</f>
        <v>0</v>
      </c>
      <c r="I49" s="98" cm="1">
        <f t="array" ref="I49">IFERROR(
  VALUE(H49) / COUNTA(_xlfn.FILTERXML("&lt;t&gt;&lt;s&gt;" &amp; SUBSTITUTE(G49, " / ", "&lt;/s&gt;&lt;s&gt;") &amp; "&lt;/s&gt;&lt;/t&gt;", "//s")),
  0
)</f>
        <v>0</v>
      </c>
    </row>
    <row r="50" spans="3:9" x14ac:dyDescent="0.25">
      <c r="D50" s="123" cm="1">
        <f t="array" ref="D50">IFERROR(
  VALUE(C50) / COUNTA(_xlfn.FILTERXML("&lt;t&gt;&lt;s&gt;" &amp; SUBSTITUTE(B50, " / ", "&lt;/s&gt;&lt;s&gt;") &amp; "&lt;/s&gt;&lt;/t&gt;", "//s")),
  0
)</f>
        <v>0</v>
      </c>
      <c r="I50" s="98" cm="1">
        <f t="array" ref="I50">IFERROR(
  VALUE(H50) / COUNTA(_xlfn.FILTERXML("&lt;t&gt;&lt;s&gt;" &amp; SUBSTITUTE(G50, " / ", "&lt;/s&gt;&lt;s&gt;") &amp; "&lt;/s&gt;&lt;/t&gt;", "//s")),
  0
)</f>
        <v>0</v>
      </c>
    </row>
    <row r="51" spans="3:9" x14ac:dyDescent="0.25">
      <c r="D51" s="123" cm="1">
        <f t="array" ref="D51">IFERROR(
  VALUE(C51) / COUNTA(_xlfn.FILTERXML("&lt;t&gt;&lt;s&gt;" &amp; SUBSTITUTE(B51, " / ", "&lt;/s&gt;&lt;s&gt;") &amp; "&lt;/s&gt;&lt;/t&gt;", "//s")),
  0
)</f>
        <v>0</v>
      </c>
      <c r="I51" s="98" cm="1">
        <f t="array" ref="I51">IFERROR(
  VALUE(H51) / COUNTA(_xlfn.FILTERXML("&lt;t&gt;&lt;s&gt;" &amp; SUBSTITUTE(G51, " / ", "&lt;/s&gt;&lt;s&gt;") &amp; "&lt;/s&gt;&lt;/t&gt;", "//s")),
  0
)</f>
        <v>0</v>
      </c>
    </row>
    <row r="52" spans="3:9" x14ac:dyDescent="0.25">
      <c r="D52" s="123" cm="1">
        <f t="array" ref="D52">IFERROR(
  VALUE(C52) / COUNTA(_xlfn.FILTERXML("&lt;t&gt;&lt;s&gt;" &amp; SUBSTITUTE(B52, " / ", "&lt;/s&gt;&lt;s&gt;") &amp; "&lt;/s&gt;&lt;/t&gt;", "//s")),
  0
)</f>
        <v>0</v>
      </c>
      <c r="I52" s="98" cm="1">
        <f t="array" ref="I52">IFERROR(
  VALUE(H52) / COUNTA(_xlfn.FILTERXML("&lt;t&gt;&lt;s&gt;" &amp; SUBSTITUTE(G52, " / ", "&lt;/s&gt;&lt;s&gt;") &amp; "&lt;/s&gt;&lt;/t&gt;", "//s")),
  0
)</f>
        <v>0</v>
      </c>
    </row>
    <row r="53" spans="3:9" x14ac:dyDescent="0.25">
      <c r="D53" s="123" cm="1">
        <f t="array" ref="D53">IFERROR(
  VALUE(C53) / COUNTA(_xlfn.FILTERXML("&lt;t&gt;&lt;s&gt;" &amp; SUBSTITUTE(B53, " / ", "&lt;/s&gt;&lt;s&gt;") &amp; "&lt;/s&gt;&lt;/t&gt;", "//s")),
  0
)</f>
        <v>0</v>
      </c>
      <c r="I53" s="98" cm="1">
        <f t="array" ref="I53">IFERROR(
  VALUE(H53) / COUNTA(_xlfn.FILTERXML("&lt;t&gt;&lt;s&gt;" &amp; SUBSTITUTE(G53, " / ", "&lt;/s&gt;&lt;s&gt;") &amp; "&lt;/s&gt;&lt;/t&gt;", "//s")),
  0
)</f>
        <v>0</v>
      </c>
    </row>
    <row r="54" spans="3:9" x14ac:dyDescent="0.25">
      <c r="D54" s="123" cm="1">
        <f t="array" ref="D54">IFERROR(
  VALUE(C54) / COUNTA(_xlfn.FILTERXML("&lt;t&gt;&lt;s&gt;" &amp; SUBSTITUTE(B54, " / ", "&lt;/s&gt;&lt;s&gt;") &amp; "&lt;/s&gt;&lt;/t&gt;", "//s")),
  0
)</f>
        <v>0</v>
      </c>
      <c r="I54" s="98" cm="1">
        <f t="array" ref="I54">IFERROR(
  VALUE(H54) / COUNTA(_xlfn.FILTERXML("&lt;t&gt;&lt;s&gt;" &amp; SUBSTITUTE(G54, " / ", "&lt;/s&gt;&lt;s&gt;") &amp; "&lt;/s&gt;&lt;/t&gt;", "//s")),
  0
)</f>
        <v>0</v>
      </c>
    </row>
    <row r="56" spans="3:9" x14ac:dyDescent="0.25">
      <c r="C56" s="85" t="s">
        <v>194</v>
      </c>
      <c r="D56" s="128">
        <f>SUM(D3:D54)</f>
        <v>13060.833333333334</v>
      </c>
      <c r="H56" s="107" t="s">
        <v>198</v>
      </c>
      <c r="I56" s="98">
        <f>SUM(I3:I54)</f>
        <v>16748.333333333332</v>
      </c>
    </row>
    <row r="57" spans="3:9" x14ac:dyDescent="0.25">
      <c r="D57" s="127" t="s">
        <v>140</v>
      </c>
    </row>
    <row r="1048576" spans="4:4" x14ac:dyDescent="0.25">
      <c r="D1048576" s="129"/>
    </row>
  </sheetData>
  <conditionalFormatting sqref="A1:E1 J1:XFD1">
    <cfRule type="containsText" dxfId="47" priority="3" operator="containsText" text="REC: ">
      <formula>NOT(ISERROR(SEARCH("REC: ",A1)))</formula>
    </cfRule>
    <cfRule type="containsText" dxfId="46" priority="4" operator="containsText" text="MKT: ">
      <formula>NOT(ISERROR(SEARCH("MKT: ",A1)))</formula>
    </cfRule>
  </conditionalFormatting>
  <conditionalFormatting sqref="F1:I1">
    <cfRule type="containsText" dxfId="45" priority="1" operator="containsText" text="REC: ">
      <formula>NOT(ISERROR(SEARCH("REC: ",F1)))</formula>
    </cfRule>
    <cfRule type="containsText" dxfId="44" priority="2" operator="containsText" text="MKT: ">
      <formula>NOT(ISERROR(SEARCH("MKT: ",F1)))</formula>
    </cfRule>
  </conditionalFormatting>
  <hyperlinks>
    <hyperlink ref="D3" location="'Recruiting Events'!A2" display="'Recruiting Events'!A2" xr:uid="{389CE5B8-E357-4715-8B31-435F74D2F5DC}"/>
    <hyperlink ref="D4" location="'Recruiting Events'!A48" display="Free" xr:uid="{AE2CC853-3CF1-470A-A366-055A4519164E}"/>
    <hyperlink ref="D5" location="'MKT Events'!A70" display="'MKT Events'!A70" xr:uid="{9C2A7A79-0639-4BBC-8207-4157CD42DAB3}"/>
    <hyperlink ref="D6" location="'MKT Events'!A146" display="'MKT Events'!A146" xr:uid="{6652B37C-6855-408C-AB08-FF1616EAD200}"/>
    <hyperlink ref="D7" location="'Recruiting Events'!A107" display="'Recruiting Events'!A107" xr:uid="{2E45607E-96DC-4104-AE16-82A1F0580575}"/>
    <hyperlink ref="D8" location="'Recruiting Events'!A185" display="'Recruiting Events'!A185" xr:uid="{6E470AEF-6FDE-487A-A2F6-E1F798DE2DC7}"/>
    <hyperlink ref="C9" location="'MKT Events'!A283" display="'MKT Events'!A283" xr:uid="{233D8B12-6981-4E13-A049-91B966BEBEF6}"/>
    <hyperlink ref="C10" location="'MKT Events'!A552" display="'MKT Events'!A552" xr:uid="{F39AF079-C8B9-4D83-8FFF-ABC3F4F348CB}"/>
  </hyperlinks>
  <pageMargins left="0.7" right="0.7" top="0.75" bottom="0.75" header="0.3" footer="0.3"/>
  <drawing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56F08-080A-4BA8-ABB4-F7BE9006927C}">
  <dimension ref="A1:I1048576"/>
  <sheetViews>
    <sheetView workbookViewId="0">
      <pane ySplit="2" topLeftCell="A48" activePane="bottomLeft" state="frozen"/>
      <selection pane="bottomLeft" activeCell="F62" sqref="F62"/>
    </sheetView>
  </sheetViews>
  <sheetFormatPr defaultRowHeight="15" x14ac:dyDescent="0.25"/>
  <cols>
    <col min="1" max="1" width="44.85546875" style="67" bestFit="1" customWidth="1"/>
    <col min="2" max="2" width="25.5703125" style="69" bestFit="1" customWidth="1"/>
    <col min="3" max="3" width="19.5703125" style="70" customWidth="1"/>
    <col min="4" max="4" width="19.7109375" style="127" customWidth="1"/>
    <col min="5" max="5" width="18.5703125" style="106" bestFit="1" customWidth="1"/>
    <col min="6" max="6" width="54.28515625" style="67" bestFit="1" customWidth="1"/>
    <col min="7" max="7" width="25.5703125" style="67" bestFit="1" customWidth="1"/>
    <col min="8" max="8" width="19.5703125" style="67" bestFit="1" customWidth="1"/>
    <col min="9" max="9" width="31.28515625" style="98" customWidth="1"/>
    <col min="10" max="16384" width="9.140625" style="10"/>
  </cols>
  <sheetData>
    <row r="1" spans="1:9" ht="33" customHeight="1" thickBot="1" x14ac:dyDescent="0.3">
      <c r="A1" s="10"/>
      <c r="B1" s="10"/>
      <c r="C1" s="81"/>
      <c r="D1" s="10"/>
      <c r="E1" s="118"/>
      <c r="F1" s="120"/>
      <c r="G1" s="120"/>
      <c r="H1" s="120"/>
      <c r="I1" s="121"/>
    </row>
    <row r="2" spans="1:9" s="78" customFormat="1" ht="21.75" thickBot="1" x14ac:dyDescent="0.4">
      <c r="A2" s="75" t="s">
        <v>108</v>
      </c>
      <c r="B2" s="76" t="s">
        <v>168</v>
      </c>
      <c r="C2" s="79" t="s">
        <v>167</v>
      </c>
      <c r="D2" s="124" t="s">
        <v>169</v>
      </c>
      <c r="E2" s="122"/>
      <c r="F2" s="109" t="s">
        <v>108</v>
      </c>
      <c r="G2" s="110" t="s">
        <v>168</v>
      </c>
      <c r="H2" s="111" t="s">
        <v>167</v>
      </c>
      <c r="I2" s="112" t="s">
        <v>196</v>
      </c>
    </row>
    <row r="3" spans="1:9" x14ac:dyDescent="0.25">
      <c r="A3" s="72" t="str" cm="1">
        <f t="array" ref="A3:C10">_xlfn._xlws.FILTER(
  CHOOSE({1,2,3},
    Data!B2:B1000,
    Data!H2:H1000,
    Data!N2:N1000
  ),
  (ISNUMBER(SEARCH("Alante", Data!H2:H1000))) *
  (Data!E2:E1000="Approved")
)</f>
        <v>State of the State - The Hertel Report</v>
      </c>
      <c r="B3" s="73" t="str">
        <v>Alante</v>
      </c>
      <c r="C3" s="74">
        <v>400</v>
      </c>
      <c r="D3" s="125" cm="1">
        <f t="array" ref="D3">IFERROR(
  VALUE(C3) / COUNTA(_xlfn.FILTERXML("&lt;t&gt;&lt;s&gt;" &amp; SUBSTITUTE(B3, " / ", "&lt;/s&gt;&lt;s&gt;") &amp; "&lt;/s&gt;&lt;/t&gt;", "//s")),
  0
)</f>
        <v>400</v>
      </c>
      <c r="E3" s="105"/>
      <c r="F3" s="70" t="str" cm="1">
        <f t="array" ref="F3:H25">_xlfn._xlws.FILTER(
  CHOOSE({1,2,3},
    Data!B2:B1000,
    Data!H2:H1000,
    Data!N2:N1000
  ),
  (ISNUMBER(SEARCH("Alante", Data!H2:H1000))) *
  (
    (Data!E2:E1000="Not Approved") +
    ISNUMBER(SEARCH("Pending", Data!E2:E1000)) +
    (Data!E2:E1000="Approved")
  )
)</f>
        <v>State of the State - The Hertel Report</v>
      </c>
      <c r="G3" s="67" t="str">
        <v>Alante</v>
      </c>
      <c r="H3" s="67">
        <v>400</v>
      </c>
      <c r="I3" s="98" cm="1">
        <f t="array" ref="I3">IFERROR(
  VALUE(H3) / COUNTA(_xlfn.FILTERXML("&lt;t&gt;&lt;s&gt;" &amp; SUBSTITUTE(G3, " / ", "&lt;/s&gt;&lt;s&gt;") &amp; "&lt;/s&gt;&lt;/t&gt;", "//s")),
  0
)</f>
        <v>400</v>
      </c>
    </row>
    <row r="4" spans="1:9" x14ac:dyDescent="0.25">
      <c r="A4" s="68" t="str">
        <v>ACMA AZ Chapter Event</v>
      </c>
      <c r="B4" s="69" t="str">
        <v>Alante / Aleca / Sante</v>
      </c>
      <c r="C4" s="70">
        <v>850</v>
      </c>
      <c r="D4" s="126" cm="1">
        <f t="array" ref="D4">IFERROR(
  VALUE(C4) / COUNTA(_xlfn.FILTERXML("&lt;t&gt;&lt;s&gt;" &amp; SUBSTITUTE(B4, " / ", "&lt;/s&gt;&lt;s&gt;") &amp; "&lt;/s&gt;&lt;/t&gt;", "//s")),
  0
)</f>
        <v>283.33333333333331</v>
      </c>
      <c r="E4" s="105"/>
      <c r="F4" s="70" t="str">
        <v>Annual Assembly Hospice &amp; Palliative Care (AAHPM)</v>
      </c>
      <c r="G4" s="67" t="str">
        <v xml:space="preserve">Alante / Aleca </v>
      </c>
      <c r="H4" s="67">
        <v>1520</v>
      </c>
      <c r="I4" s="98" cm="1">
        <f t="array" ref="I4">IFERROR(
  VALUE(H4) / COUNTA(_xlfn.FILTERXML("&lt;t&gt;&lt;s&gt;" &amp; SUBSTITUTE(G4, " / ", "&lt;/s&gt;&lt;s&gt;") &amp; "&lt;/s&gt;&lt;/t&gt;", "//s")),
  0
)</f>
        <v>760</v>
      </c>
    </row>
    <row r="5" spans="1:9" x14ac:dyDescent="0.25">
      <c r="A5" s="67" t="str">
        <v>2025 George Rozsa Golf Classic</v>
      </c>
      <c r="B5" s="69" t="str">
        <v>Alante</v>
      </c>
      <c r="C5" s="70">
        <v>4000</v>
      </c>
      <c r="D5" s="126" cm="1">
        <f t="array" ref="D5">IFERROR(
  VALUE(C5) / COUNTA(_xlfn.FILTERXML("&lt;t&gt;&lt;s&gt;" &amp; SUBSTITUTE(B5, " / ", "&lt;/s&gt;&lt;s&gt;") &amp; "&lt;/s&gt;&lt;/t&gt;", "//s")),
  0
)</f>
        <v>4000</v>
      </c>
      <c r="E5" s="105"/>
      <c r="F5" s="70" t="str">
        <v>University of Arizona Health Professions Expo</v>
      </c>
      <c r="G5" s="67" t="str">
        <v>Alante / Aleca / Sante</v>
      </c>
      <c r="H5" s="67" t="str">
        <v>-</v>
      </c>
      <c r="I5" s="98" cm="1">
        <f t="array" ref="I5">IFERROR(
  VALUE(H5) / COUNTA(_xlfn.FILTERXML("&lt;t&gt;&lt;s&gt;" &amp; SUBSTITUTE(G5, " / ", "&lt;/s&gt;&lt;s&gt;") &amp; "&lt;/s&gt;&lt;/t&gt;", "//s")),
  0
)</f>
        <v>0</v>
      </c>
    </row>
    <row r="6" spans="1:9" x14ac:dyDescent="0.25">
      <c r="A6" s="68" t="str">
        <v>NAACOS - Accountable Care Organizations</v>
      </c>
      <c r="B6" s="69" t="str">
        <v>Alante</v>
      </c>
      <c r="C6" s="83">
        <v>4198</v>
      </c>
      <c r="D6" s="130" cm="1">
        <f t="array" ref="D6">IFERROR(
  VALUE(C6) / COUNTA(_xlfn.FILTERXML("&lt;t&gt;&lt;s&gt;" &amp; SUBSTITUTE(B6, " / ", "&lt;/s&gt;&lt;s&gt;") &amp; "&lt;/s&gt;&lt;/t&gt;", "//s")),
  0
)</f>
        <v>4198</v>
      </c>
      <c r="E6" s="105"/>
      <c r="F6" s="70" t="str">
        <v>ACMA AZ Chapter Event</v>
      </c>
      <c r="G6" s="67" t="str">
        <v>Alante / Aleca / Sante</v>
      </c>
      <c r="H6" s="67">
        <v>850</v>
      </c>
      <c r="I6" s="98" cm="1">
        <f t="array" ref="I6">IFERROR(
  VALUE(H6) / COUNTA(_xlfn.FILTERXML("&lt;t&gt;&lt;s&gt;" &amp; SUBSTITUTE(G6, " / ", "&lt;/s&gt;&lt;s&gt;") &amp; "&lt;/s&gt;&lt;/t&gt;", "//s")),
  0
)</f>
        <v>283.33333333333331</v>
      </c>
    </row>
    <row r="7" spans="1:9" x14ac:dyDescent="0.25">
      <c r="A7" s="67" t="str">
        <v>CMSA AZ Annual Conference</v>
      </c>
      <c r="B7" s="69" t="str">
        <v>Alante / Aleca</v>
      </c>
      <c r="C7" s="83">
        <v>1750</v>
      </c>
      <c r="D7" s="130" cm="1">
        <f t="array" ref="D7">IFERROR(
  VALUE(C7) / COUNTA(_xlfn.FILTERXML("&lt;t&gt;&lt;s&gt;" &amp; SUBSTITUTE(B7, " / ", "&lt;/s&gt;&lt;s&gt;") &amp; "&lt;/s&gt;&lt;/t&gt;", "//s")),
  0
)</f>
        <v>875</v>
      </c>
      <c r="E7" s="105"/>
      <c r="F7" s="70" t="str">
        <v>2025 National Conference Denver - ACMA</v>
      </c>
      <c r="G7" s="67" t="str">
        <v>Alante</v>
      </c>
      <c r="H7" s="67">
        <v>2300</v>
      </c>
      <c r="I7" s="98" cm="1">
        <f t="array" ref="I7">IFERROR(
  VALUE(H7) / COUNTA(_xlfn.FILTERXML("&lt;t&gt;&lt;s&gt;" &amp; SUBSTITUTE(G7, " / ", "&lt;/s&gt;&lt;s&gt;") &amp; "&lt;/s&gt;&lt;/t&gt;", "//s")),
  0
)</f>
        <v>2300</v>
      </c>
    </row>
    <row r="8" spans="1:9" x14ac:dyDescent="0.25">
      <c r="A8" s="68" t="str">
        <v>OR ACHE Spring Conference</v>
      </c>
      <c r="B8" s="69" t="str">
        <v>Alante</v>
      </c>
      <c r="C8" s="70">
        <v>175</v>
      </c>
      <c r="D8" s="130" cm="1">
        <f t="array" ref="D8">IFERROR(
  VALUE(C8) / COUNTA(_xlfn.FILTERXML("&lt;t&gt;&lt;s&gt;" &amp; SUBSTITUTE(B8, " / ", "&lt;/s&gt;&lt;s&gt;") &amp; "&lt;/s&gt;&lt;/t&gt;", "//s")),
  0
)</f>
        <v>175</v>
      </c>
      <c r="E8" s="105"/>
      <c r="F8" s="70" t="str">
        <v>Population Health Management Summit</v>
      </c>
      <c r="G8" s="67" t="str">
        <v>Alante / Aleca / Sante</v>
      </c>
      <c r="H8" s="67">
        <v>1025</v>
      </c>
      <c r="I8" s="98" cm="1">
        <f t="array" ref="I8">IFERROR(
  VALUE(H8) / COUNTA(_xlfn.FILTERXML("&lt;t&gt;&lt;s&gt;" &amp; SUBSTITUTE(G8, " / ", "&lt;/s&gt;&lt;s&gt;") &amp; "&lt;/s&gt;&lt;/t&gt;", "//s")),
  0
)</f>
        <v>341.66666666666669</v>
      </c>
    </row>
    <row r="9" spans="1:9" x14ac:dyDescent="0.25">
      <c r="A9" s="68" t="str">
        <v>Arizona Health Care Association (AHCA) Convention &amp; Expo</v>
      </c>
      <c r="B9" s="69" t="str">
        <v>Alante / Aleca / Sante</v>
      </c>
      <c r="C9" s="70">
        <v>2550</v>
      </c>
      <c r="D9" s="130" cm="1">
        <f t="array" ref="D9">IFERROR(
  VALUE(C9) / COUNTA(_xlfn.FILTERXML("&lt;t&gt;&lt;s&gt;" &amp; SUBSTITUTE(B9, " / ", "&lt;/s&gt;&lt;s&gt;") &amp; "&lt;/s&gt;&lt;/t&gt;", "//s")),
  0
)</f>
        <v>850</v>
      </c>
      <c r="E9" s="105"/>
      <c r="F9" s="70" t="str">
        <v>2025 George Rozsa Golf Classic</v>
      </c>
      <c r="G9" s="67" t="str">
        <v>Alante</v>
      </c>
      <c r="H9" s="67">
        <v>4000</v>
      </c>
      <c r="I9" s="98" cm="1">
        <f t="array" ref="I9">IFERROR(
  VALUE(H9) / COUNTA(_xlfn.FILTERXML("&lt;t&gt;&lt;s&gt;" &amp; SUBSTITUTE(G9, " / ", "&lt;/s&gt;&lt;s&gt;") &amp; "&lt;/s&gt;&lt;/t&gt;", "//s")),
  0
)</f>
        <v>4000</v>
      </c>
    </row>
    <row r="10" spans="1:9" x14ac:dyDescent="0.25">
      <c r="A10" s="67" t="str">
        <v>Arizona Association for Home Care (AAHC) Conference Expo</v>
      </c>
      <c r="B10" s="69" t="str">
        <v>Alante / Aleca</v>
      </c>
      <c r="C10" s="70">
        <v>2500</v>
      </c>
      <c r="D10" s="130" cm="1">
        <f t="array" ref="D10">IFERROR(
  VALUE(C10) / COUNTA(_xlfn.FILTERXML("&lt;t&gt;&lt;s&gt;" &amp; SUBSTITUTE(B10, " / ", "&lt;/s&gt;&lt;s&gt;") &amp; "&lt;/s&gt;&lt;/t&gt;", "//s")),
  0
)</f>
        <v>1250</v>
      </c>
      <c r="F10" s="67" t="str">
        <v>32'nd Annual Internal Medicine Review</v>
      </c>
      <c r="G10" s="67" t="str">
        <v>Alante / Aleca</v>
      </c>
      <c r="H10" s="67">
        <v>425</v>
      </c>
      <c r="I10" s="98" cm="1">
        <f t="array" ref="I10">IFERROR(
  VALUE(H10) / COUNTA(_xlfn.FILTERXML("&lt;t&gt;&lt;s&gt;" &amp; SUBSTITUTE(G10, " / ", "&lt;/s&gt;&lt;s&gt;") &amp; "&lt;/s&gt;&lt;/t&gt;", "//s")),
  0
)</f>
        <v>212.5</v>
      </c>
    </row>
    <row r="11" spans="1:9" x14ac:dyDescent="0.25">
      <c r="D11" s="130" cm="1">
        <f t="array" ref="D11">IFERROR(
  VALUE(C11) / COUNTA(_xlfn.FILTERXML("&lt;t&gt;&lt;s&gt;" &amp; SUBSTITUTE(B11, " / ", "&lt;/s&gt;&lt;s&gt;") &amp; "&lt;/s&gt;&lt;/t&gt;", "//s")),
  0
)</f>
        <v>0</v>
      </c>
      <c r="F11" s="67" t="str">
        <v>NAACOS - Accountable Care Organizations</v>
      </c>
      <c r="G11" s="67" t="str">
        <v>Alante</v>
      </c>
      <c r="H11" s="67">
        <v>4198</v>
      </c>
      <c r="I11" s="98" cm="1">
        <f t="array" ref="I11">IFERROR(
  VALUE(H11) / COUNTA(_xlfn.FILTERXML("&lt;t&gt;&lt;s&gt;" &amp; SUBSTITUTE(G11, " / ", "&lt;/s&gt;&lt;s&gt;") &amp; "&lt;/s&gt;&lt;/t&gt;", "//s")),
  0
)</f>
        <v>4198</v>
      </c>
    </row>
    <row r="12" spans="1:9" x14ac:dyDescent="0.25">
      <c r="D12" s="130" cm="1">
        <f t="array" ref="D12">IFERROR(
  VALUE(C12) / COUNTA(_xlfn.FILTERXML("&lt;t&gt;&lt;s&gt;" &amp; SUBSTITUTE(B12, " / ", "&lt;/s&gt;&lt;s&gt;") &amp; "&lt;/s&gt;&lt;/t&gt;", "//s")),
  0
)</f>
        <v>0</v>
      </c>
      <c r="F12" s="67" t="str">
        <v>Seattle Nursing Research Workshop &amp; Conference</v>
      </c>
      <c r="G12" s="67" t="str">
        <v>Alante / Aleca / Encore</v>
      </c>
      <c r="H12" s="67">
        <v>275</v>
      </c>
      <c r="I12" s="98" cm="1">
        <f t="array" ref="I12">IFERROR(
  VALUE(H12) / COUNTA(_xlfn.FILTERXML("&lt;t&gt;&lt;s&gt;" &amp; SUBSTITUTE(G12, " / ", "&lt;/s&gt;&lt;s&gt;") &amp; "&lt;/s&gt;&lt;/t&gt;", "//s")),
  0
)</f>
        <v>91.666666666666671</v>
      </c>
    </row>
    <row r="13" spans="1:9" x14ac:dyDescent="0.25">
      <c r="D13" s="130" cm="1">
        <f t="array" ref="D13">IFERROR(
  VALUE(C13) / COUNTA(_xlfn.FILTERXML("&lt;t&gt;&lt;s&gt;" &amp; SUBSTITUTE(B13, " / ", "&lt;/s&gt;&lt;s&gt;") &amp; "&lt;/s&gt;&lt;/t&gt;", "//s")),
  0
)</f>
        <v>0</v>
      </c>
      <c r="F13" s="67" t="str">
        <v>CMSA AZ Annual Conference</v>
      </c>
      <c r="G13" s="67" t="str">
        <v>Alante / Aleca</v>
      </c>
      <c r="H13" s="67">
        <v>1750</v>
      </c>
      <c r="I13" s="98" cm="1">
        <f t="array" ref="I13">IFERROR(
  VALUE(H13) / COUNTA(_xlfn.FILTERXML("&lt;t&gt;&lt;s&gt;" &amp; SUBSTITUTE(G13, " / ", "&lt;/s&gt;&lt;s&gt;") &amp; "&lt;/s&gt;&lt;/t&gt;", "//s")),
  0
)</f>
        <v>875</v>
      </c>
    </row>
    <row r="14" spans="1:9" x14ac:dyDescent="0.25">
      <c r="D14" s="130" cm="1">
        <f t="array" ref="D14">IFERROR(
  VALUE(C14) / COUNTA(_xlfn.FILTERXML("&lt;t&gt;&lt;s&gt;" &amp; SUBSTITUTE(B14, " / ", "&lt;/s&gt;&lt;s&gt;") &amp; "&lt;/s&gt;&lt;/t&gt;", "//s")),
  0
)</f>
        <v>0</v>
      </c>
      <c r="F14" s="67" t="str">
        <v>OR ACHE Spring Conference</v>
      </c>
      <c r="G14" s="67" t="str">
        <v>Alante</v>
      </c>
      <c r="H14" s="67">
        <v>175</v>
      </c>
      <c r="I14" s="98" cm="1">
        <f t="array" ref="I14">IFERROR(
  VALUE(H14) / COUNTA(_xlfn.FILTERXML("&lt;t&gt;&lt;s&gt;" &amp; SUBSTITUTE(G14, " / ", "&lt;/s&gt;&lt;s&gt;") &amp; "&lt;/s&gt;&lt;/t&gt;", "//s")),
  0
)</f>
        <v>175</v>
      </c>
    </row>
    <row r="15" spans="1:9" x14ac:dyDescent="0.25">
      <c r="D15" s="130" cm="1">
        <f t="array" ref="D15">IFERROR(
  VALUE(C15) / COUNTA(_xlfn.FILTERXML("&lt;t&gt;&lt;s&gt;" &amp; SUBSTITUTE(B15, " / ", "&lt;/s&gt;&lt;s&gt;") &amp; "&lt;/s&gt;&lt;/t&gt;", "//s")),
  0
)</f>
        <v>0</v>
      </c>
      <c r="F15" s="67" t="str">
        <v>41st Annual Geriatric Care CNE Nursing Conference</v>
      </c>
      <c r="G15" s="67" t="str">
        <v xml:space="preserve">Alante / Aleca </v>
      </c>
      <c r="H15" s="67">
        <v>325</v>
      </c>
      <c r="I15" s="98" cm="1">
        <f t="array" ref="I15">IFERROR(
  VALUE(H15) / COUNTA(_xlfn.FILTERXML("&lt;t&gt;&lt;s&gt;" &amp; SUBSTITUTE(G15, " / ", "&lt;/s&gt;&lt;s&gt;") &amp; "&lt;/s&gt;&lt;/t&gt;", "//s")),
  0
)</f>
        <v>162.5</v>
      </c>
    </row>
    <row r="16" spans="1:9" x14ac:dyDescent="0.25">
      <c r="D16" s="130" cm="1">
        <f t="array" ref="D16">IFERROR(
  VALUE(C16) / COUNTA(_xlfn.FILTERXML("&lt;t&gt;&lt;s&gt;" &amp; SUBSTITUTE(B16, " / ", "&lt;/s&gt;&lt;s&gt;") &amp; "&lt;/s&gt;&lt;/t&gt;", "//s")),
  0
)</f>
        <v>0</v>
      </c>
      <c r="F16" s="67" t="str">
        <v>Arizona Health Care Association (AHCA) Convention &amp; Expo</v>
      </c>
      <c r="G16" s="67" t="str">
        <v>Alante / Aleca / Sante</v>
      </c>
      <c r="H16" s="67">
        <v>2550</v>
      </c>
      <c r="I16" s="98" cm="1">
        <f t="array" ref="I16">IFERROR(
  VALUE(H16) / COUNTA(_xlfn.FILTERXML("&lt;t&gt;&lt;s&gt;" &amp; SUBSTITUTE(G16, " / ", "&lt;/s&gt;&lt;s&gt;") &amp; "&lt;/s&gt;&lt;/t&gt;", "//s")),
  0
)</f>
        <v>850</v>
      </c>
    </row>
    <row r="17" spans="4:9" x14ac:dyDescent="0.25">
      <c r="D17" s="130" cm="1">
        <f t="array" ref="D17">IFERROR(
  VALUE(C17) / COUNTA(_xlfn.FILTERXML("&lt;t&gt;&lt;s&gt;" &amp; SUBSTITUTE(B17, " / ", "&lt;/s&gt;&lt;s&gt;") &amp; "&lt;/s&gt;&lt;/t&gt;", "//s")),
  0
)</f>
        <v>0</v>
      </c>
      <c r="F17" s="67" t="str">
        <v>2025 American Association of Nurse Practitioners (AANP) National Conference</v>
      </c>
      <c r="G17" s="67" t="str">
        <v xml:space="preserve">Alante / Aleca </v>
      </c>
      <c r="H17" s="67">
        <v>799</v>
      </c>
      <c r="I17" s="98" cm="1">
        <f t="array" ref="I17">IFERROR(
  VALUE(H17) / COUNTA(_xlfn.FILTERXML("&lt;t&gt;&lt;s&gt;" &amp; SUBSTITUTE(G17, " / ", "&lt;/s&gt;&lt;s&gt;") &amp; "&lt;/s&gt;&lt;/t&gt;", "//s")),
  0
)</f>
        <v>399.5</v>
      </c>
    </row>
    <row r="18" spans="4:9" x14ac:dyDescent="0.25">
      <c r="D18" s="130" cm="1">
        <f t="array" ref="D18">IFERROR(
  VALUE(C18) / COUNTA(_xlfn.FILTERXML("&lt;t&gt;&lt;s&gt;" &amp; SUBSTITUTE(B18, " / ", "&lt;/s&gt;&lt;s&gt;") &amp; "&lt;/s&gt;&lt;/t&gt;", "//s")),
  0
)</f>
        <v>0</v>
      </c>
      <c r="F18" s="67" t="str">
        <v>Arizona Association for Home Care (AAHC) Conference Expo</v>
      </c>
      <c r="G18" s="67" t="str">
        <v>Alante / Aleca</v>
      </c>
      <c r="H18" s="67">
        <v>2500</v>
      </c>
      <c r="I18" s="98" cm="1">
        <f t="array" ref="I18">IFERROR(
  VALUE(H18) / COUNTA(_xlfn.FILTERXML("&lt;t&gt;&lt;s&gt;" &amp; SUBSTITUTE(G18, " / ", "&lt;/s&gt;&lt;s&gt;") &amp; "&lt;/s&gt;&lt;/t&gt;", "//s")),
  0
)</f>
        <v>1250</v>
      </c>
    </row>
    <row r="19" spans="4:9" x14ac:dyDescent="0.25">
      <c r="D19" s="130" cm="1">
        <f t="array" ref="D19">IFERROR(
  VALUE(C19) / COUNTA(_xlfn.FILTERXML("&lt;t&gt;&lt;s&gt;" &amp; SUBSTITUTE(B19, " / ", "&lt;/s&gt;&lt;s&gt;") &amp; "&lt;/s&gt;&lt;/t&gt;", "//s")),
  0
)</f>
        <v>0</v>
      </c>
      <c r="F19" s="67" t="str">
        <v>Association of Rehabilitation Nurses (ARN) Annual Conference</v>
      </c>
      <c r="G19" s="67" t="str">
        <v>Alante / Aleca / Sante</v>
      </c>
      <c r="H19" s="67">
        <v>809</v>
      </c>
      <c r="I19" s="98" cm="1">
        <f t="array" ref="I19">IFERROR(
  VALUE(H19) / COUNTA(_xlfn.FILTERXML("&lt;t&gt;&lt;s&gt;" &amp; SUBSTITUTE(G19, " / ", "&lt;/s&gt;&lt;s&gt;") &amp; "&lt;/s&gt;&lt;/t&gt;", "//s")),
  0
)</f>
        <v>269.66666666666669</v>
      </c>
    </row>
    <row r="20" spans="4:9" x14ac:dyDescent="0.25">
      <c r="D20" s="130" cm="1">
        <f t="array" ref="D20">IFERROR(
  VALUE(C20) / COUNTA(_xlfn.FILTERXML("&lt;t&gt;&lt;s&gt;" &amp; SUBSTITUTE(B20, " / ", "&lt;/s&gt;&lt;s&gt;") &amp; "&lt;/s&gt;&lt;/t&gt;", "//s")),
  0
)</f>
        <v>0</v>
      </c>
      <c r="F20" s="67" t="str">
        <v>Oregon Health Care Association (OHCA)</v>
      </c>
      <c r="G20" s="67" t="str">
        <v>Alante / Aleca</v>
      </c>
      <c r="H20" s="67">
        <v>3000</v>
      </c>
      <c r="I20" s="98" cm="1">
        <f t="array" ref="I20">IFERROR(
  VALUE(H20) / COUNTA(_xlfn.FILTERXML("&lt;t&gt;&lt;s&gt;" &amp; SUBSTITUTE(G20, " / ", "&lt;/s&gt;&lt;s&gt;") &amp; "&lt;/s&gt;&lt;/t&gt;", "//s")),
  0
)</f>
        <v>1500</v>
      </c>
    </row>
    <row r="21" spans="4:9" x14ac:dyDescent="0.25">
      <c r="D21" s="130" cm="1">
        <f t="array" ref="D21">IFERROR(
  VALUE(C21) / COUNTA(_xlfn.FILTERXML("&lt;t&gt;&lt;s&gt;" &amp; SUBSTITUTE(B21, " / ", "&lt;/s&gt;&lt;s&gt;") &amp; "&lt;/s&gt;&lt;/t&gt;", "//s")),
  0
)</f>
        <v>0</v>
      </c>
      <c r="F21" s="67" t="str">
        <v>Hospital Association of OR 2025 Annual Member Meeting</v>
      </c>
      <c r="G21" s="67" t="str">
        <v xml:space="preserve">Alante / Aleca </v>
      </c>
      <c r="H21" s="67">
        <v>0</v>
      </c>
      <c r="I21" s="98" cm="1">
        <f t="array" ref="I21">IFERROR(
  VALUE(H21) / COUNTA(_xlfn.FILTERXML("&lt;t&gt;&lt;s&gt;" &amp; SUBSTITUTE(G21, " / ", "&lt;/s&gt;&lt;s&gt;") &amp; "&lt;/s&gt;&lt;/t&gt;", "//s")),
  0
)</f>
        <v>0</v>
      </c>
    </row>
    <row r="22" spans="4:9" x14ac:dyDescent="0.25">
      <c r="D22" s="130" cm="1">
        <f t="array" ref="D22">IFERROR(
  VALUE(C22) / COUNTA(_xlfn.FILTERXML("&lt;t&gt;&lt;s&gt;" &amp; SUBSTITUTE(B22, " / ", "&lt;/s&gt;&lt;s&gt;") &amp; "&lt;/s&gt;&lt;/t&gt;", "//s")),
  0
)</f>
        <v>0</v>
      </c>
      <c r="F22" s="67" t="str">
        <v>Oregon Geriatrics Society</v>
      </c>
      <c r="G22" s="67" t="str">
        <v>Alante</v>
      </c>
      <c r="H22" s="67">
        <v>0</v>
      </c>
      <c r="I22" s="98" cm="1">
        <f t="array" ref="I22">IFERROR(
  VALUE(H22) / COUNTA(_xlfn.FILTERXML("&lt;t&gt;&lt;s&gt;" &amp; SUBSTITUTE(G22, " / ", "&lt;/s&gt;&lt;s&gt;") &amp; "&lt;/s&gt;&lt;/t&gt;", "//s")),
  0
)</f>
        <v>0</v>
      </c>
    </row>
    <row r="23" spans="4:9" x14ac:dyDescent="0.25">
      <c r="D23" s="130" cm="1">
        <f t="array" ref="D23">IFERROR(
  VALUE(C23) / COUNTA(_xlfn.FILTERXML("&lt;t&gt;&lt;s&gt;" &amp; SUBSTITUTE(B23, " / ", "&lt;/s&gt;&lt;s&gt;") &amp; "&lt;/s&gt;&lt;/t&gt;", "//s")),
  0
)</f>
        <v>0</v>
      </c>
      <c r="F23" s="67" t="str">
        <v>NAACOS - Accountable Care Organizations</v>
      </c>
      <c r="G23" s="67" t="str">
        <v>Alante</v>
      </c>
      <c r="H23" s="67">
        <v>0</v>
      </c>
      <c r="I23" s="98" cm="1">
        <f t="array" ref="I23">IFERROR(
  VALUE(H23) / COUNTA(_xlfn.FILTERXML("&lt;t&gt;&lt;s&gt;" &amp; SUBSTITUTE(G23, " / ", "&lt;/s&gt;&lt;s&gt;") &amp; "&lt;/s&gt;&lt;/t&gt;", "//s")),
  0
)</f>
        <v>0</v>
      </c>
    </row>
    <row r="24" spans="4:9" x14ac:dyDescent="0.25">
      <c r="D24" s="130" cm="1">
        <f t="array" ref="D24">IFERROR(
  VALUE(C24) / COUNTA(_xlfn.FILTERXML("&lt;t&gt;&lt;s&gt;" &amp; SUBSTITUTE(B24, " / ", "&lt;/s&gt;&lt;s&gt;") &amp; "&lt;/s&gt;&lt;/t&gt;", "//s")),
  0
)</f>
        <v>0</v>
      </c>
      <c r="F24" s="67" t="str">
        <v>Annual Leadership Conference (AZHHA)</v>
      </c>
      <c r="G24" s="67" t="str">
        <v>Alante / Aleca / Sante</v>
      </c>
      <c r="H24" s="67">
        <v>0</v>
      </c>
      <c r="I24" s="98" cm="1">
        <f t="array" ref="I24">IFERROR(
  VALUE(H24) / COUNTA(_xlfn.FILTERXML("&lt;t&gt;&lt;s&gt;" &amp; SUBSTITUTE(G24, " / ", "&lt;/s&gt;&lt;s&gt;") &amp; "&lt;/s&gt;&lt;/t&gt;", "//s")),
  0
)</f>
        <v>0</v>
      </c>
    </row>
    <row r="25" spans="4:9" x14ac:dyDescent="0.25">
      <c r="D25" s="130" cm="1">
        <f t="array" ref="D25">IFERROR(
  VALUE(C25) / COUNTA(_xlfn.FILTERXML("&lt;t&gt;&lt;s&gt;" &amp; SUBSTITUTE(B25, " / ", "&lt;/s&gt;&lt;s&gt;") &amp; "&lt;/s&gt;&lt;/t&gt;", "//s")),
  0
)</f>
        <v>0</v>
      </c>
      <c r="F25" s="67" t="str">
        <v>Banner Ball: A Celebration of Caring and Cures</v>
      </c>
      <c r="G25" s="67" t="str">
        <v>Alante / Aleca / Sante</v>
      </c>
      <c r="H25" s="67">
        <v>0</v>
      </c>
      <c r="I25" s="98" cm="1">
        <f t="array" ref="I25">IFERROR(
  VALUE(H25) / COUNTA(_xlfn.FILTERXML("&lt;t&gt;&lt;s&gt;" &amp; SUBSTITUTE(G25, " / ", "&lt;/s&gt;&lt;s&gt;") &amp; "&lt;/s&gt;&lt;/t&gt;", "//s")),
  0
)</f>
        <v>0</v>
      </c>
    </row>
    <row r="26" spans="4:9" x14ac:dyDescent="0.25">
      <c r="D26" s="130" cm="1">
        <f t="array" ref="D26">IFERROR(
  VALUE(C26) / COUNTA(_xlfn.FILTERXML("&lt;t&gt;&lt;s&gt;" &amp; SUBSTITUTE(B26, " / ", "&lt;/s&gt;&lt;s&gt;") &amp; "&lt;/s&gt;&lt;/t&gt;", "//s")),
  0
)</f>
        <v>0</v>
      </c>
      <c r="I26" s="98" cm="1">
        <f t="array" ref="I26">IFERROR(
  VALUE(H26) / COUNTA(_xlfn.FILTERXML("&lt;t&gt;&lt;s&gt;" &amp; SUBSTITUTE(G26, " / ", "&lt;/s&gt;&lt;s&gt;") &amp; "&lt;/s&gt;&lt;/t&gt;", "//s")),
  0
)</f>
        <v>0</v>
      </c>
    </row>
    <row r="27" spans="4:9" x14ac:dyDescent="0.25">
      <c r="D27" s="130" cm="1">
        <f t="array" ref="D27">IFERROR(
  VALUE(C27) / COUNTA(_xlfn.FILTERXML("&lt;t&gt;&lt;s&gt;" &amp; SUBSTITUTE(B27, " / ", "&lt;/s&gt;&lt;s&gt;") &amp; "&lt;/s&gt;&lt;/t&gt;", "//s")),
  0
)</f>
        <v>0</v>
      </c>
      <c r="I27" s="98" cm="1">
        <f t="array" ref="I27">IFERROR(
  VALUE(H27) / COUNTA(_xlfn.FILTERXML("&lt;t&gt;&lt;s&gt;" &amp; SUBSTITUTE(G27, " / ", "&lt;/s&gt;&lt;s&gt;") &amp; "&lt;/s&gt;&lt;/t&gt;", "//s")),
  0
)</f>
        <v>0</v>
      </c>
    </row>
    <row r="28" spans="4:9" x14ac:dyDescent="0.25">
      <c r="D28" s="130" cm="1">
        <f t="array" ref="D28">IFERROR(
  VALUE(C28) / COUNTA(_xlfn.FILTERXML("&lt;t&gt;&lt;s&gt;" &amp; SUBSTITUTE(B28, " / ", "&lt;/s&gt;&lt;s&gt;") &amp; "&lt;/s&gt;&lt;/t&gt;", "//s")),
  0
)</f>
        <v>0</v>
      </c>
      <c r="I28" s="98" cm="1">
        <f t="array" ref="I28">IFERROR(
  VALUE(H28) / COUNTA(_xlfn.FILTERXML("&lt;t&gt;&lt;s&gt;" &amp; SUBSTITUTE(G28, " / ", "&lt;/s&gt;&lt;s&gt;") &amp; "&lt;/s&gt;&lt;/t&gt;", "//s")),
  0
)</f>
        <v>0</v>
      </c>
    </row>
    <row r="29" spans="4:9" x14ac:dyDescent="0.25">
      <c r="D29" s="130" cm="1">
        <f t="array" ref="D29">IFERROR(
  VALUE(C29) / COUNTA(_xlfn.FILTERXML("&lt;t&gt;&lt;s&gt;" &amp; SUBSTITUTE(B29, " / ", "&lt;/s&gt;&lt;s&gt;") &amp; "&lt;/s&gt;&lt;/t&gt;", "//s")),
  0
)</f>
        <v>0</v>
      </c>
      <c r="I29" s="98" cm="1">
        <f t="array" ref="I29">IFERROR(
  VALUE(H29) / COUNTA(_xlfn.FILTERXML("&lt;t&gt;&lt;s&gt;" &amp; SUBSTITUTE(G29, " / ", "&lt;/s&gt;&lt;s&gt;") &amp; "&lt;/s&gt;&lt;/t&gt;", "//s")),
  0
)</f>
        <v>0</v>
      </c>
    </row>
    <row r="30" spans="4:9" x14ac:dyDescent="0.25">
      <c r="D30" s="130" cm="1">
        <f t="array" ref="D30">IFERROR(
  VALUE(C30) / COUNTA(_xlfn.FILTERXML("&lt;t&gt;&lt;s&gt;" &amp; SUBSTITUTE(B30, " / ", "&lt;/s&gt;&lt;s&gt;") &amp; "&lt;/s&gt;&lt;/t&gt;", "//s")),
  0
)</f>
        <v>0</v>
      </c>
      <c r="I30" s="98" cm="1">
        <f t="array" ref="I30">IFERROR(
  VALUE(H30) / COUNTA(_xlfn.FILTERXML("&lt;t&gt;&lt;s&gt;" &amp; SUBSTITUTE(G30, " / ", "&lt;/s&gt;&lt;s&gt;") &amp; "&lt;/s&gt;&lt;/t&gt;", "//s")),
  0
)</f>
        <v>0</v>
      </c>
    </row>
    <row r="31" spans="4:9" x14ac:dyDescent="0.25">
      <c r="D31" s="130" cm="1">
        <f t="array" ref="D31">IFERROR(
  VALUE(C31) / COUNTA(_xlfn.FILTERXML("&lt;t&gt;&lt;s&gt;" &amp; SUBSTITUTE(B31, " / ", "&lt;/s&gt;&lt;s&gt;") &amp; "&lt;/s&gt;&lt;/t&gt;", "//s")),
  0
)</f>
        <v>0</v>
      </c>
      <c r="I31" s="98" cm="1">
        <f t="array" ref="I31">IFERROR(
  VALUE(H31) / COUNTA(_xlfn.FILTERXML("&lt;t&gt;&lt;s&gt;" &amp; SUBSTITUTE(G31, " / ", "&lt;/s&gt;&lt;s&gt;") &amp; "&lt;/s&gt;&lt;/t&gt;", "//s")),
  0
)</f>
        <v>0</v>
      </c>
    </row>
    <row r="32" spans="4:9" x14ac:dyDescent="0.25">
      <c r="D32" s="130" cm="1">
        <f t="array" ref="D32">IFERROR(
  VALUE(C32) / COUNTA(_xlfn.FILTERXML("&lt;t&gt;&lt;s&gt;" &amp; SUBSTITUTE(B32, " / ", "&lt;/s&gt;&lt;s&gt;") &amp; "&lt;/s&gt;&lt;/t&gt;", "//s")),
  0
)</f>
        <v>0</v>
      </c>
      <c r="I32" s="98" cm="1">
        <f t="array" ref="I32">IFERROR(
  VALUE(H32) / COUNTA(_xlfn.FILTERXML("&lt;t&gt;&lt;s&gt;" &amp; SUBSTITUTE(G32, " / ", "&lt;/s&gt;&lt;s&gt;") &amp; "&lt;/s&gt;&lt;/t&gt;", "//s")),
  0
)</f>
        <v>0</v>
      </c>
    </row>
    <row r="33" spans="4:9" x14ac:dyDescent="0.25">
      <c r="D33" s="130" cm="1">
        <f t="array" ref="D33">IFERROR(
  VALUE(C33) / COUNTA(_xlfn.FILTERXML("&lt;t&gt;&lt;s&gt;" &amp; SUBSTITUTE(B33, " / ", "&lt;/s&gt;&lt;s&gt;") &amp; "&lt;/s&gt;&lt;/t&gt;", "//s")),
  0
)</f>
        <v>0</v>
      </c>
      <c r="I33" s="98" cm="1">
        <f t="array" ref="I33">IFERROR(
  VALUE(H33) / COUNTA(_xlfn.FILTERXML("&lt;t&gt;&lt;s&gt;" &amp; SUBSTITUTE(G33, " / ", "&lt;/s&gt;&lt;s&gt;") &amp; "&lt;/s&gt;&lt;/t&gt;", "//s")),
  0
)</f>
        <v>0</v>
      </c>
    </row>
    <row r="34" spans="4:9" x14ac:dyDescent="0.25">
      <c r="D34" s="130" cm="1">
        <f t="array" ref="D34">IFERROR(
  VALUE(C34) / COUNTA(_xlfn.FILTERXML("&lt;t&gt;&lt;s&gt;" &amp; SUBSTITUTE(B34, " / ", "&lt;/s&gt;&lt;s&gt;") &amp; "&lt;/s&gt;&lt;/t&gt;", "//s")),
  0
)</f>
        <v>0</v>
      </c>
      <c r="I34" s="98" cm="1">
        <f t="array" ref="I34">IFERROR(
  VALUE(H34) / COUNTA(_xlfn.FILTERXML("&lt;t&gt;&lt;s&gt;" &amp; SUBSTITUTE(G34, " / ", "&lt;/s&gt;&lt;s&gt;") &amp; "&lt;/s&gt;&lt;/t&gt;", "//s")),
  0
)</f>
        <v>0</v>
      </c>
    </row>
    <row r="35" spans="4:9" x14ac:dyDescent="0.25">
      <c r="D35" s="130" cm="1">
        <f t="array" ref="D35">IFERROR(
  VALUE(C35) / COUNTA(_xlfn.FILTERXML("&lt;t&gt;&lt;s&gt;" &amp; SUBSTITUTE(B35, " / ", "&lt;/s&gt;&lt;s&gt;") &amp; "&lt;/s&gt;&lt;/t&gt;", "//s")),
  0
)</f>
        <v>0</v>
      </c>
      <c r="I35" s="98" cm="1">
        <f t="array" ref="I35">IFERROR(
  VALUE(H35) / COUNTA(_xlfn.FILTERXML("&lt;t&gt;&lt;s&gt;" &amp; SUBSTITUTE(G35, " / ", "&lt;/s&gt;&lt;s&gt;") &amp; "&lt;/s&gt;&lt;/t&gt;", "//s")),
  0
)</f>
        <v>0</v>
      </c>
    </row>
    <row r="36" spans="4:9" x14ac:dyDescent="0.25">
      <c r="D36" s="130" cm="1">
        <f t="array" ref="D36">IFERROR(
  VALUE(C36) / COUNTA(_xlfn.FILTERXML("&lt;t&gt;&lt;s&gt;" &amp; SUBSTITUTE(B36, " / ", "&lt;/s&gt;&lt;s&gt;") &amp; "&lt;/s&gt;&lt;/t&gt;", "//s")),
  0
)</f>
        <v>0</v>
      </c>
      <c r="I36" s="98" cm="1">
        <f t="array" ref="I36">IFERROR(
  VALUE(H36) / COUNTA(_xlfn.FILTERXML("&lt;t&gt;&lt;s&gt;" &amp; SUBSTITUTE(G36, " / ", "&lt;/s&gt;&lt;s&gt;") &amp; "&lt;/s&gt;&lt;/t&gt;", "//s")),
  0
)</f>
        <v>0</v>
      </c>
    </row>
    <row r="37" spans="4:9" x14ac:dyDescent="0.25">
      <c r="D37" s="130" cm="1">
        <f t="array" ref="D37">IFERROR(
  VALUE(C37) / COUNTA(_xlfn.FILTERXML("&lt;t&gt;&lt;s&gt;" &amp; SUBSTITUTE(B37, " / ", "&lt;/s&gt;&lt;s&gt;") &amp; "&lt;/s&gt;&lt;/t&gt;", "//s")),
  0
)</f>
        <v>0</v>
      </c>
      <c r="I37" s="98" cm="1">
        <f t="array" ref="I37">IFERROR(
  VALUE(H37) / COUNTA(_xlfn.FILTERXML("&lt;t&gt;&lt;s&gt;" &amp; SUBSTITUTE(G37, " / ", "&lt;/s&gt;&lt;s&gt;") &amp; "&lt;/s&gt;&lt;/t&gt;", "//s")),
  0
)</f>
        <v>0</v>
      </c>
    </row>
    <row r="38" spans="4:9" x14ac:dyDescent="0.25">
      <c r="D38" s="130" cm="1">
        <f t="array" ref="D38">IFERROR(
  VALUE(C38) / COUNTA(_xlfn.FILTERXML("&lt;t&gt;&lt;s&gt;" &amp; SUBSTITUTE(B38, " / ", "&lt;/s&gt;&lt;s&gt;") &amp; "&lt;/s&gt;&lt;/t&gt;", "//s")),
  0
)</f>
        <v>0</v>
      </c>
      <c r="I38" s="98" cm="1">
        <f t="array" ref="I38">IFERROR(
  VALUE(H38) / COUNTA(_xlfn.FILTERXML("&lt;t&gt;&lt;s&gt;" &amp; SUBSTITUTE(G38, " / ", "&lt;/s&gt;&lt;s&gt;") &amp; "&lt;/s&gt;&lt;/t&gt;", "//s")),
  0
)</f>
        <v>0</v>
      </c>
    </row>
    <row r="39" spans="4:9" x14ac:dyDescent="0.25">
      <c r="D39" s="130" cm="1">
        <f t="array" ref="D39">IFERROR(
  VALUE(C39) / COUNTA(_xlfn.FILTERXML("&lt;t&gt;&lt;s&gt;" &amp; SUBSTITUTE(B39, " / ", "&lt;/s&gt;&lt;s&gt;") &amp; "&lt;/s&gt;&lt;/t&gt;", "//s")),
  0
)</f>
        <v>0</v>
      </c>
      <c r="I39" s="98" cm="1">
        <f t="array" ref="I39">IFERROR(
  VALUE(H39) / COUNTA(_xlfn.FILTERXML("&lt;t&gt;&lt;s&gt;" &amp; SUBSTITUTE(G39, " / ", "&lt;/s&gt;&lt;s&gt;") &amp; "&lt;/s&gt;&lt;/t&gt;", "//s")),
  0
)</f>
        <v>0</v>
      </c>
    </row>
    <row r="40" spans="4:9" x14ac:dyDescent="0.25">
      <c r="D40" s="130" cm="1">
        <f t="array" ref="D40">IFERROR(
  VALUE(C40) / COUNTA(_xlfn.FILTERXML("&lt;t&gt;&lt;s&gt;" &amp; SUBSTITUTE(B40, " / ", "&lt;/s&gt;&lt;s&gt;") &amp; "&lt;/s&gt;&lt;/t&gt;", "//s")),
  0
)</f>
        <v>0</v>
      </c>
      <c r="I40" s="98" cm="1">
        <f t="array" ref="I40">IFERROR(
  VALUE(H40) / COUNTA(_xlfn.FILTERXML("&lt;t&gt;&lt;s&gt;" &amp; SUBSTITUTE(G40, " / ", "&lt;/s&gt;&lt;s&gt;") &amp; "&lt;/s&gt;&lt;/t&gt;", "//s")),
  0
)</f>
        <v>0</v>
      </c>
    </row>
    <row r="41" spans="4:9" x14ac:dyDescent="0.25">
      <c r="D41" s="130" cm="1">
        <f t="array" ref="D41">IFERROR(
  VALUE(C41) / COUNTA(_xlfn.FILTERXML("&lt;t&gt;&lt;s&gt;" &amp; SUBSTITUTE(B41, " / ", "&lt;/s&gt;&lt;s&gt;") &amp; "&lt;/s&gt;&lt;/t&gt;", "//s")),
  0
)</f>
        <v>0</v>
      </c>
      <c r="I41" s="98" cm="1">
        <f t="array" ref="I41">IFERROR(
  VALUE(H41) / COUNTA(_xlfn.FILTERXML("&lt;t&gt;&lt;s&gt;" &amp; SUBSTITUTE(G41, " / ", "&lt;/s&gt;&lt;s&gt;") &amp; "&lt;/s&gt;&lt;/t&gt;", "//s")),
  0
)</f>
        <v>0</v>
      </c>
    </row>
    <row r="42" spans="4:9" x14ac:dyDescent="0.25">
      <c r="D42" s="130" cm="1">
        <f t="array" ref="D42">IFERROR(
  VALUE(C42) / COUNTA(_xlfn.FILTERXML("&lt;t&gt;&lt;s&gt;" &amp; SUBSTITUTE(B42, " / ", "&lt;/s&gt;&lt;s&gt;") &amp; "&lt;/s&gt;&lt;/t&gt;", "//s")),
  0
)</f>
        <v>0</v>
      </c>
      <c r="I42" s="98" cm="1">
        <f t="array" ref="I42">IFERROR(
  VALUE(H42) / COUNTA(_xlfn.FILTERXML("&lt;t&gt;&lt;s&gt;" &amp; SUBSTITUTE(G42, " / ", "&lt;/s&gt;&lt;s&gt;") &amp; "&lt;/s&gt;&lt;/t&gt;", "//s")),
  0
)</f>
        <v>0</v>
      </c>
    </row>
    <row r="43" spans="4:9" x14ac:dyDescent="0.25">
      <c r="D43" s="130" cm="1">
        <f t="array" ref="D43">IFERROR(
  VALUE(C43) / COUNTA(_xlfn.FILTERXML("&lt;t&gt;&lt;s&gt;" &amp; SUBSTITUTE(B43, " / ", "&lt;/s&gt;&lt;s&gt;") &amp; "&lt;/s&gt;&lt;/t&gt;", "//s")),
  0
)</f>
        <v>0</v>
      </c>
      <c r="I43" s="98" cm="1">
        <f t="array" ref="I43">IFERROR(
  VALUE(H43) / COUNTA(_xlfn.FILTERXML("&lt;t&gt;&lt;s&gt;" &amp; SUBSTITUTE(G43, " / ", "&lt;/s&gt;&lt;s&gt;") &amp; "&lt;/s&gt;&lt;/t&gt;", "//s")),
  0
)</f>
        <v>0</v>
      </c>
    </row>
    <row r="44" spans="4:9" x14ac:dyDescent="0.25">
      <c r="D44" s="130" cm="1">
        <f t="array" ref="D44">IFERROR(
  VALUE(C44) / COUNTA(_xlfn.FILTERXML("&lt;t&gt;&lt;s&gt;" &amp; SUBSTITUTE(B44, " / ", "&lt;/s&gt;&lt;s&gt;") &amp; "&lt;/s&gt;&lt;/t&gt;", "//s")),
  0
)</f>
        <v>0</v>
      </c>
      <c r="I44" s="98" cm="1">
        <f t="array" ref="I44">IFERROR(
  VALUE(H44) / COUNTA(_xlfn.FILTERXML("&lt;t&gt;&lt;s&gt;" &amp; SUBSTITUTE(G44, " / ", "&lt;/s&gt;&lt;s&gt;") &amp; "&lt;/s&gt;&lt;/t&gt;", "//s")),
  0
)</f>
        <v>0</v>
      </c>
    </row>
    <row r="45" spans="4:9" x14ac:dyDescent="0.25">
      <c r="D45" s="130" cm="1">
        <f t="array" ref="D45">IFERROR(
  VALUE(C45) / COUNTA(_xlfn.FILTERXML("&lt;t&gt;&lt;s&gt;" &amp; SUBSTITUTE(B45, " / ", "&lt;/s&gt;&lt;s&gt;") &amp; "&lt;/s&gt;&lt;/t&gt;", "//s")),
  0
)</f>
        <v>0</v>
      </c>
      <c r="I45" s="98" cm="1">
        <f t="array" ref="I45">IFERROR(
  VALUE(H45) / COUNTA(_xlfn.FILTERXML("&lt;t&gt;&lt;s&gt;" &amp; SUBSTITUTE(G45, " / ", "&lt;/s&gt;&lt;s&gt;") &amp; "&lt;/s&gt;&lt;/t&gt;", "//s")),
  0
)</f>
        <v>0</v>
      </c>
    </row>
    <row r="46" spans="4:9" x14ac:dyDescent="0.25">
      <c r="D46" s="130" cm="1">
        <f t="array" ref="D46">IFERROR(
  VALUE(C46) / COUNTA(_xlfn.FILTERXML("&lt;t&gt;&lt;s&gt;" &amp; SUBSTITUTE(B46, " / ", "&lt;/s&gt;&lt;s&gt;") &amp; "&lt;/s&gt;&lt;/t&gt;", "//s")),
  0
)</f>
        <v>0</v>
      </c>
      <c r="I46" s="98" cm="1">
        <f t="array" ref="I46">IFERROR(
  VALUE(H46) / COUNTA(_xlfn.FILTERXML("&lt;t&gt;&lt;s&gt;" &amp; SUBSTITUTE(G46, " / ", "&lt;/s&gt;&lt;s&gt;") &amp; "&lt;/s&gt;&lt;/t&gt;", "//s")),
  0
)</f>
        <v>0</v>
      </c>
    </row>
    <row r="47" spans="4:9" x14ac:dyDescent="0.25">
      <c r="D47" s="130" cm="1">
        <f t="array" ref="D47">IFERROR(
  VALUE(C47) / COUNTA(_xlfn.FILTERXML("&lt;t&gt;&lt;s&gt;" &amp; SUBSTITUTE(B47, " / ", "&lt;/s&gt;&lt;s&gt;") &amp; "&lt;/s&gt;&lt;/t&gt;", "//s")),
  0
)</f>
        <v>0</v>
      </c>
      <c r="I47" s="98" cm="1">
        <f t="array" ref="I47">IFERROR(
  VALUE(H47) / COUNTA(_xlfn.FILTERXML("&lt;t&gt;&lt;s&gt;" &amp; SUBSTITUTE(G47, " / ", "&lt;/s&gt;&lt;s&gt;") &amp; "&lt;/s&gt;&lt;/t&gt;", "//s")),
  0
)</f>
        <v>0</v>
      </c>
    </row>
    <row r="48" spans="4:9" x14ac:dyDescent="0.25">
      <c r="D48" s="130" cm="1">
        <f t="array" ref="D48">IFERROR(
  VALUE(C48) / COUNTA(_xlfn.FILTERXML("&lt;t&gt;&lt;s&gt;" &amp; SUBSTITUTE(B48, " / ", "&lt;/s&gt;&lt;s&gt;") &amp; "&lt;/s&gt;&lt;/t&gt;", "//s")),
  0
)</f>
        <v>0</v>
      </c>
      <c r="I48" s="98" cm="1">
        <f t="array" ref="I48">IFERROR(
  VALUE(H48) / COUNTA(_xlfn.FILTERXML("&lt;t&gt;&lt;s&gt;" &amp; SUBSTITUTE(G48, " / ", "&lt;/s&gt;&lt;s&gt;") &amp; "&lt;/s&gt;&lt;/t&gt;", "//s")),
  0
)</f>
        <v>0</v>
      </c>
    </row>
    <row r="49" spans="3:9" x14ac:dyDescent="0.25">
      <c r="D49" s="130" cm="1">
        <f t="array" ref="D49">IFERROR(
  VALUE(C49) / COUNTA(_xlfn.FILTERXML("&lt;t&gt;&lt;s&gt;" &amp; SUBSTITUTE(B49, " / ", "&lt;/s&gt;&lt;s&gt;") &amp; "&lt;/s&gt;&lt;/t&gt;", "//s")),
  0
)</f>
        <v>0</v>
      </c>
      <c r="I49" s="98" cm="1">
        <f t="array" ref="I49">IFERROR(
  VALUE(H49) / COUNTA(_xlfn.FILTERXML("&lt;t&gt;&lt;s&gt;" &amp; SUBSTITUTE(G49, " / ", "&lt;/s&gt;&lt;s&gt;") &amp; "&lt;/s&gt;&lt;/t&gt;", "//s")),
  0
)</f>
        <v>0</v>
      </c>
    </row>
    <row r="50" spans="3:9" x14ac:dyDescent="0.25">
      <c r="D50" s="130" cm="1">
        <f t="array" ref="D50">IFERROR(
  VALUE(C50) / COUNTA(_xlfn.FILTERXML("&lt;t&gt;&lt;s&gt;" &amp; SUBSTITUTE(B50, " / ", "&lt;/s&gt;&lt;s&gt;") &amp; "&lt;/s&gt;&lt;/t&gt;", "//s")),
  0
)</f>
        <v>0</v>
      </c>
      <c r="I50" s="98" cm="1">
        <f t="array" ref="I50">IFERROR(
  VALUE(H50) / COUNTA(_xlfn.FILTERXML("&lt;t&gt;&lt;s&gt;" &amp; SUBSTITUTE(G50, " / ", "&lt;/s&gt;&lt;s&gt;") &amp; "&lt;/s&gt;&lt;/t&gt;", "//s")),
  0
)</f>
        <v>0</v>
      </c>
    </row>
    <row r="51" spans="3:9" x14ac:dyDescent="0.25">
      <c r="D51" s="130" cm="1">
        <f t="array" ref="D51">IFERROR(
  VALUE(C51) / COUNTA(_xlfn.FILTERXML("&lt;t&gt;&lt;s&gt;" &amp; SUBSTITUTE(B51, " / ", "&lt;/s&gt;&lt;s&gt;") &amp; "&lt;/s&gt;&lt;/t&gt;", "//s")),
  0
)</f>
        <v>0</v>
      </c>
      <c r="I51" s="98" cm="1">
        <f t="array" ref="I51">IFERROR(
  VALUE(H51) / COUNTA(_xlfn.FILTERXML("&lt;t&gt;&lt;s&gt;" &amp; SUBSTITUTE(G51, " / ", "&lt;/s&gt;&lt;s&gt;") &amp; "&lt;/s&gt;&lt;/t&gt;", "//s")),
  0
)</f>
        <v>0</v>
      </c>
    </row>
    <row r="52" spans="3:9" x14ac:dyDescent="0.25">
      <c r="D52" s="130" cm="1">
        <f t="array" ref="D52">IFERROR(
  VALUE(C52) / COUNTA(_xlfn.FILTERXML("&lt;t&gt;&lt;s&gt;" &amp; SUBSTITUTE(B52, " / ", "&lt;/s&gt;&lt;s&gt;") &amp; "&lt;/s&gt;&lt;/t&gt;", "//s")),
  0
)</f>
        <v>0</v>
      </c>
      <c r="I52" s="98" cm="1">
        <f t="array" ref="I52">IFERROR(
  VALUE(H52) / COUNTA(_xlfn.FILTERXML("&lt;t&gt;&lt;s&gt;" &amp; SUBSTITUTE(G52, " / ", "&lt;/s&gt;&lt;s&gt;") &amp; "&lt;/s&gt;&lt;/t&gt;", "//s")),
  0
)</f>
        <v>0</v>
      </c>
    </row>
    <row r="53" spans="3:9" x14ac:dyDescent="0.25">
      <c r="D53" s="130" cm="1">
        <f t="array" ref="D53">IFERROR(
  VALUE(C53) / COUNTA(_xlfn.FILTERXML("&lt;t&gt;&lt;s&gt;" &amp; SUBSTITUTE(B53, " / ", "&lt;/s&gt;&lt;s&gt;") &amp; "&lt;/s&gt;&lt;/t&gt;", "//s")),
  0
)</f>
        <v>0</v>
      </c>
      <c r="I53" s="98" cm="1">
        <f t="array" ref="I53">IFERROR(
  VALUE(H53) / COUNTA(_xlfn.FILTERXML("&lt;t&gt;&lt;s&gt;" &amp; SUBSTITUTE(G53, " / ", "&lt;/s&gt;&lt;s&gt;") &amp; "&lt;/s&gt;&lt;/t&gt;", "//s")),
  0
)</f>
        <v>0</v>
      </c>
    </row>
    <row r="54" spans="3:9" x14ac:dyDescent="0.25">
      <c r="D54" s="130" cm="1">
        <f t="array" ref="D54">IFERROR(
  VALUE(C54) / COUNTA(_xlfn.FILTERXML("&lt;t&gt;&lt;s&gt;" &amp; SUBSTITUTE(B54, " / ", "&lt;/s&gt;&lt;s&gt;") &amp; "&lt;/s&gt;&lt;/t&gt;", "//s")),
  0
)</f>
        <v>0</v>
      </c>
      <c r="I54" s="98" cm="1">
        <f t="array" ref="I54">IFERROR(
  VALUE(H54) / COUNTA(_xlfn.FILTERXML("&lt;t&gt;&lt;s&gt;" &amp; SUBSTITUTE(G54, " / ", "&lt;/s&gt;&lt;s&gt;") &amp; "&lt;/s&gt;&lt;/t&gt;", "//s")),
  0
)</f>
        <v>0</v>
      </c>
    </row>
    <row r="55" spans="3:9" x14ac:dyDescent="0.25">
      <c r="D55" s="130" cm="1">
        <f t="array" ref="D55">IFERROR(
  VALUE(C55) / COUNTA(_xlfn.FILTERXML("&lt;t&gt;&lt;s&gt;" &amp; SUBSTITUTE(B55, " / ", "&lt;/s&gt;&lt;s&gt;") &amp; "&lt;/s&gt;&lt;/t&gt;", "//s")),
  0
)</f>
        <v>0</v>
      </c>
      <c r="I55" s="98" cm="1">
        <f t="array" ref="I55">IFERROR(
  VALUE(H55) / COUNTA(_xlfn.FILTERXML("&lt;t&gt;&lt;s&gt;" &amp; SUBSTITUTE(G55, " / ", "&lt;/s&gt;&lt;s&gt;") &amp; "&lt;/s&gt;&lt;/t&gt;", "//s")),
  0
)</f>
        <v>0</v>
      </c>
    </row>
    <row r="56" spans="3:9" x14ac:dyDescent="0.25">
      <c r="D56" s="130" cm="1">
        <f t="array" ref="D56">IFERROR(
  VALUE(C56) / COUNTA(_xlfn.FILTERXML("&lt;t&gt;&lt;s&gt;" &amp; SUBSTITUTE(B56, " / ", "&lt;/s&gt;&lt;s&gt;") &amp; "&lt;/s&gt;&lt;/t&gt;", "//s")),
  0
)</f>
        <v>0</v>
      </c>
      <c r="I56" s="98" cm="1">
        <f t="array" ref="I56">IFERROR(
  VALUE(H56) / COUNTA(_xlfn.FILTERXML("&lt;t&gt;&lt;s&gt;" &amp; SUBSTITUTE(G56, " / ", "&lt;/s&gt;&lt;s&gt;") &amp; "&lt;/s&gt;&lt;/t&gt;", "//s")),
  0
)</f>
        <v>0</v>
      </c>
    </row>
    <row r="57" spans="3:9" x14ac:dyDescent="0.25">
      <c r="D57" s="130" cm="1">
        <f t="array" ref="D57">IFERROR(
  VALUE(C57) / COUNTA(_xlfn.FILTERXML("&lt;t&gt;&lt;s&gt;" &amp; SUBSTITUTE(B57, " / ", "&lt;/s&gt;&lt;s&gt;") &amp; "&lt;/s&gt;&lt;/t&gt;", "//s")),
  0
)</f>
        <v>0</v>
      </c>
      <c r="I57" s="98" cm="1">
        <f t="array" ref="I57">IFERROR(
  VALUE(H57) / COUNTA(_xlfn.FILTERXML("&lt;t&gt;&lt;s&gt;" &amp; SUBSTITUTE(G57, " / ", "&lt;/s&gt;&lt;s&gt;") &amp; "&lt;/s&gt;&lt;/t&gt;", "//s")),
  0
)</f>
        <v>0</v>
      </c>
    </row>
    <row r="58" spans="3:9" x14ac:dyDescent="0.25">
      <c r="D58" s="130" cm="1">
        <f t="array" ref="D58">IFERROR(
  VALUE(C58) / COUNTA(_xlfn.FILTERXML("&lt;t&gt;&lt;s&gt;" &amp; SUBSTITUTE(B58, " / ", "&lt;/s&gt;&lt;s&gt;") &amp; "&lt;/s&gt;&lt;/t&gt;", "//s")),
  0
)</f>
        <v>0</v>
      </c>
      <c r="I58" s="98" cm="1">
        <f t="array" ref="I58">IFERROR(
  VALUE(H58) / COUNTA(_xlfn.FILTERXML("&lt;t&gt;&lt;s&gt;" &amp; SUBSTITUTE(G58, " / ", "&lt;/s&gt;&lt;s&gt;") &amp; "&lt;/s&gt;&lt;/t&gt;", "//s")),
  0
)</f>
        <v>0</v>
      </c>
    </row>
    <row r="59" spans="3:9" x14ac:dyDescent="0.25">
      <c r="D59" s="130" cm="1">
        <f t="array" ref="D59">IFERROR(
  VALUE(C59) / COUNTA(_xlfn.FILTERXML("&lt;t&gt;&lt;s&gt;" &amp; SUBSTITUTE(B59, " / ", "&lt;/s&gt;&lt;s&gt;") &amp; "&lt;/s&gt;&lt;/t&gt;", "//s")),
  0
)</f>
        <v>0</v>
      </c>
      <c r="I59" s="98" cm="1">
        <f t="array" ref="I59">IFERROR(
  VALUE(H59) / COUNTA(_xlfn.FILTERXML("&lt;t&gt;&lt;s&gt;" &amp; SUBSTITUTE(G59, " / ", "&lt;/s&gt;&lt;s&gt;") &amp; "&lt;/s&gt;&lt;/t&gt;", "//s")),
  0
)</f>
        <v>0</v>
      </c>
    </row>
    <row r="60" spans="3:9" x14ac:dyDescent="0.25">
      <c r="D60" s="130" cm="1">
        <f t="array" ref="D60">IFERROR(
  VALUE(C60) / COUNTA(_xlfn.FILTERXML("&lt;t&gt;&lt;s&gt;" &amp; SUBSTITUTE(B60, " / ", "&lt;/s&gt;&lt;s&gt;") &amp; "&lt;/s&gt;&lt;/t&gt;", "//s")),
  0
)</f>
        <v>0</v>
      </c>
      <c r="I60" s="98" cm="1">
        <f t="array" ref="I60">IFERROR(
  VALUE(H60) / COUNTA(_xlfn.FILTERXML("&lt;t&gt;&lt;s&gt;" &amp; SUBSTITUTE(G60, " / ", "&lt;/s&gt;&lt;s&gt;") &amp; "&lt;/s&gt;&lt;/t&gt;", "//s")),
  0
)</f>
        <v>0</v>
      </c>
    </row>
    <row r="61" spans="3:9" x14ac:dyDescent="0.25">
      <c r="D61" s="130" cm="1">
        <f t="array" ref="D61">IFERROR(
  VALUE(C61) / COUNTA(_xlfn.FILTERXML("&lt;t&gt;&lt;s&gt;" &amp; SUBSTITUTE(B61, " / ", "&lt;/s&gt;&lt;s&gt;") &amp; "&lt;/s&gt;&lt;/t&gt;", "//s")),
  0
)</f>
        <v>0</v>
      </c>
      <c r="I61" s="98" cm="1">
        <f t="array" ref="I61">IFERROR(
  VALUE(H61) / COUNTA(_xlfn.FILTERXML("&lt;t&gt;&lt;s&gt;" &amp; SUBSTITUTE(G61, " / ", "&lt;/s&gt;&lt;s&gt;") &amp; "&lt;/s&gt;&lt;/t&gt;", "//s")),
  0
)</f>
        <v>0</v>
      </c>
    </row>
    <row r="62" spans="3:9" x14ac:dyDescent="0.25">
      <c r="D62" s="130" cm="1">
        <f t="array" ref="D62">IFERROR(
  VALUE(C62) / COUNTA(_xlfn.FILTERXML("&lt;t&gt;&lt;s&gt;" &amp; SUBSTITUTE(B62, " / ", "&lt;/s&gt;&lt;s&gt;") &amp; "&lt;/s&gt;&lt;/t&gt;", "//s")),
  0
)</f>
        <v>0</v>
      </c>
    </row>
    <row r="64" spans="3:9" x14ac:dyDescent="0.25">
      <c r="C64" s="85" t="s">
        <v>194</v>
      </c>
      <c r="D64" s="128">
        <f>SUM(D3:D60)</f>
        <v>12031.333333333332</v>
      </c>
      <c r="H64" s="107" t="s">
        <v>198</v>
      </c>
      <c r="I64" s="98">
        <f>SUM(I3:I60)</f>
        <v>18068.833333333332</v>
      </c>
    </row>
    <row r="1048576" spans="4:4" x14ac:dyDescent="0.25">
      <c r="D1048576" s="129"/>
    </row>
  </sheetData>
  <conditionalFormatting sqref="A1:D1 J1:XFD1">
    <cfRule type="containsText" dxfId="33" priority="5" operator="containsText" text="REC: ">
      <formula>NOT(ISERROR(SEARCH("REC: ",A1)))</formula>
    </cfRule>
    <cfRule type="containsText" dxfId="32" priority="6" operator="containsText" text="MKT: ">
      <formula>NOT(ISERROR(SEARCH("MKT: ",A1)))</formula>
    </cfRule>
  </conditionalFormatting>
  <conditionalFormatting sqref="E1">
    <cfRule type="containsText" dxfId="31" priority="3" operator="containsText" text="REC: ">
      <formula>NOT(ISERROR(SEARCH("REC: ",E1)))</formula>
    </cfRule>
    <cfRule type="containsText" dxfId="30" priority="4" operator="containsText" text="MKT: ">
      <formula>NOT(ISERROR(SEARCH("MKT: ",E1)))</formula>
    </cfRule>
  </conditionalFormatting>
  <conditionalFormatting sqref="F1:I1">
    <cfRule type="containsText" dxfId="29" priority="1" operator="containsText" text="REC: ">
      <formula>NOT(ISERROR(SEARCH("REC: ",F1)))</formula>
    </cfRule>
    <cfRule type="containsText" dxfId="28" priority="2" operator="containsText" text="MKT: ">
      <formula>NOT(ISERROR(SEARCH("MKT: ",F1)))</formula>
    </cfRule>
  </conditionalFormatting>
  <hyperlinks>
    <hyperlink ref="D5" location="'MKT Events'!A237" display="'MKT Events'!A237" xr:uid="{F6E7EE0A-B668-4FB8-95B5-F001633EA77F}"/>
    <hyperlink ref="D4" location="'MKT Events'!A70" display="'MKT Events'!A70" xr:uid="{E4B5DBEA-35DC-486F-9BFF-EFEB20C5D9A2}"/>
    <hyperlink ref="D3" location="'MKT Events'!A31" display="'MKT Events'!A31" xr:uid="{A51799F1-9390-4A46-A2D6-9F80612DFD88}"/>
    <hyperlink ref="C6" location="'MKT Events'!A283" display="'MKT Events'!A283" xr:uid="{14846383-47A8-4BB7-AF22-BA41619C8908}"/>
    <hyperlink ref="C7" location="'MKT Events'!A552" display="'MKT Events'!A552" xr:uid="{E9CDA217-D00A-48BB-89A9-2B00E7BA5B45}"/>
  </hyperlinks>
  <pageMargins left="0.7" right="0.7" top="0.75" bottom="0.75" header="0.3" footer="0.3"/>
  <drawing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2A131-496D-493A-8C5D-7D656EC5BF7B}">
  <dimension ref="A1:J33"/>
  <sheetViews>
    <sheetView workbookViewId="0">
      <pane ySplit="2" topLeftCell="A3" activePane="bottomLeft" state="frozen"/>
      <selection pane="bottomLeft" activeCell="F23" sqref="F23"/>
    </sheetView>
  </sheetViews>
  <sheetFormatPr defaultRowHeight="15" x14ac:dyDescent="0.25"/>
  <cols>
    <col min="1" max="1" width="44.85546875" style="67" bestFit="1" customWidth="1"/>
    <col min="2" max="2" width="25.5703125" style="69" bestFit="1" customWidth="1"/>
    <col min="3" max="3" width="19.5703125" style="70" customWidth="1"/>
    <col min="4" max="4" width="18.5703125" style="67" bestFit="1" customWidth="1"/>
    <col min="5" max="5" width="18.5703125" style="106" bestFit="1" customWidth="1"/>
    <col min="6" max="6" width="46.42578125" style="67" bestFit="1" customWidth="1"/>
    <col min="7" max="7" width="25.5703125" style="67" bestFit="1" customWidth="1"/>
    <col min="8" max="8" width="19.5703125" style="67" bestFit="1" customWidth="1"/>
    <col min="9" max="9" width="31.28515625" style="98" customWidth="1"/>
    <col min="10" max="16384" width="9.140625" style="10"/>
  </cols>
  <sheetData>
    <row r="1" spans="1:10" ht="33" customHeight="1" thickBot="1" x14ac:dyDescent="0.3">
      <c r="A1" s="10"/>
      <c r="B1" s="10"/>
      <c r="C1" s="81"/>
      <c r="D1" s="10"/>
      <c r="E1" s="10"/>
      <c r="F1" s="96"/>
      <c r="G1" s="96"/>
      <c r="H1" s="96"/>
      <c r="I1" s="80"/>
    </row>
    <row r="2" spans="1:10" s="78" customFormat="1" ht="21.75" thickBot="1" x14ac:dyDescent="0.4">
      <c r="A2" s="75" t="s">
        <v>108</v>
      </c>
      <c r="B2" s="76" t="s">
        <v>168</v>
      </c>
      <c r="C2" s="79" t="s">
        <v>167</v>
      </c>
      <c r="D2" s="77" t="s">
        <v>170</v>
      </c>
      <c r="E2" s="104"/>
      <c r="F2" s="109" t="s">
        <v>108</v>
      </c>
      <c r="G2" s="110" t="s">
        <v>168</v>
      </c>
      <c r="H2" s="111" t="s">
        <v>167</v>
      </c>
      <c r="I2" s="112" t="s">
        <v>196</v>
      </c>
      <c r="J2" s="116"/>
    </row>
    <row r="3" spans="1:10" x14ac:dyDescent="0.25">
      <c r="A3" s="72" t="str" cm="1">
        <f t="array" ref="A3:C3">_xlfn._xlws.FILTER(
  CHOOSE({1,2,3},
    Data!B2:B1000,
    Data!H2:H1000,
    Data!N2:N1000
  ),
  (ISNUMBER(SEARCH("Alumus", Data!H2:H1000))) *
  (Data!E2:E1000="Approved")
)</f>
        <v>Phoenix Heart Walk</v>
      </c>
      <c r="B3" s="73" t="str">
        <v>Alumus</v>
      </c>
      <c r="C3" s="84" t="str">
        <v>Free</v>
      </c>
      <c r="D3" s="74" cm="1">
        <f t="array" ref="D3">IFERROR(
  VALUE(C3) / COUNTA(_xlfn.FILTERXML("&lt;t&gt;&lt;s&gt;" &amp; SUBSTITUTE(B3, " / ", "&lt;/s&gt;&lt;s&gt;") &amp; "&lt;/s&gt;&lt;/t&gt;", "//s")),
  0
)</f>
        <v>0</v>
      </c>
      <c r="E3" s="105"/>
      <c r="F3" s="70" t="str" cm="1">
        <f t="array" ref="F3:H3">_xlfn._xlws.FILTER(
  CHOOSE({1,2,3},
    Data!B2:B1000,
    Data!H2:H1000,
    Data!N2:N1000
  ),
  (ISNUMBER(SEARCH("Alumus", Data!H2:H1000))) *
  (
    (Data!E2:E1000="Not Approved") +
    ISNUMBER(SEARCH("Pending", Data!E2:E1000)) +
    (Data!E2:E1000="Approved")
  )
)</f>
        <v>Phoenix Heart Walk</v>
      </c>
      <c r="G3" s="67" t="str">
        <v>Alumus</v>
      </c>
      <c r="H3" s="67" t="str">
        <v>Free</v>
      </c>
      <c r="I3" s="98" cm="1">
        <f t="array" ref="I3">IFERROR(
  VALUE(H3) / COUNTA(_xlfn.FILTERXML("&lt;t&gt;&lt;s&gt;" &amp; SUBSTITUTE(G3, " / ", "&lt;/s&gt;&lt;s&gt;") &amp; "&lt;/s&gt;&lt;/t&gt;", "//s")),
  0
)</f>
        <v>0</v>
      </c>
    </row>
    <row r="4" spans="1:10" x14ac:dyDescent="0.25">
      <c r="A4" s="68"/>
      <c r="D4" s="70" cm="1">
        <f t="array" ref="D4">IFERROR(
  VALUE(C4) / COUNTA(_xlfn.FILTERXML("&lt;t&gt;&lt;s&gt;" &amp; SUBSTITUTE(B4, " / ", "&lt;/s&gt;&lt;s&gt;") &amp; "&lt;/s&gt;&lt;/t&gt;", "//s")),
  0
)</f>
        <v>0</v>
      </c>
      <c r="E4" s="105"/>
      <c r="F4" s="70"/>
      <c r="I4" s="98" t="s">
        <v>155</v>
      </c>
    </row>
    <row r="5" spans="1:10" x14ac:dyDescent="0.25">
      <c r="D5" s="70" cm="1">
        <f t="array" ref="D5">IFERROR(
  VALUE(C5) / COUNTA(_xlfn.FILTERXML("&lt;t&gt;&lt;s&gt;" &amp; SUBSTITUTE(B5, " / ", "&lt;/s&gt;&lt;s&gt;") &amp; "&lt;/s&gt;&lt;/t&gt;", "//s")),
  0
)</f>
        <v>0</v>
      </c>
      <c r="E5" s="105"/>
      <c r="F5" s="70"/>
      <c r="I5" s="98" cm="1">
        <f t="array" ref="I5">IFERROR(
  VALUE(H5) / COUNTA(_xlfn.FILTERXML("&lt;t&gt;&lt;s&gt;" &amp; SUBSTITUTE(G5, " / ", "&lt;/s&gt;&lt;s&gt;") &amp; "&lt;/s&gt;&lt;/t&gt;", "//s")),
  0
)</f>
        <v>0</v>
      </c>
    </row>
    <row r="6" spans="1:10" x14ac:dyDescent="0.25">
      <c r="A6" s="68"/>
      <c r="D6" s="70" cm="1">
        <f t="array" ref="D6">IFERROR(
  VALUE(C6) / COUNTA(_xlfn.FILTERXML("&lt;t&gt;&lt;s&gt;" &amp; SUBSTITUTE(B6, " / ", "&lt;/s&gt;&lt;s&gt;") &amp; "&lt;/s&gt;&lt;/t&gt;", "//s")),
  0
)</f>
        <v>0</v>
      </c>
      <c r="E6" s="105"/>
      <c r="F6" s="70"/>
      <c r="I6" s="98" cm="1">
        <f t="array" ref="I6">IFERROR(
  VALUE(H6) / COUNTA(_xlfn.FILTERXML("&lt;t&gt;&lt;s&gt;" &amp; SUBSTITUTE(G6, " / ", "&lt;/s&gt;&lt;s&gt;") &amp; "&lt;/s&gt;&lt;/t&gt;", "//s")),
  0
)</f>
        <v>0</v>
      </c>
    </row>
    <row r="7" spans="1:10" x14ac:dyDescent="0.25">
      <c r="D7" s="70" cm="1">
        <f t="array" ref="D7">IFERROR(
  VALUE(C7) / COUNTA(_xlfn.FILTERXML("&lt;t&gt;&lt;s&gt;" &amp; SUBSTITUTE(B7, " / ", "&lt;/s&gt;&lt;s&gt;") &amp; "&lt;/s&gt;&lt;/t&gt;", "//s")),
  0
)</f>
        <v>0</v>
      </c>
      <c r="E7" s="105"/>
      <c r="F7" s="70"/>
      <c r="I7" s="98" cm="1">
        <f t="array" ref="I7">IFERROR(
  VALUE(H7) / COUNTA(_xlfn.FILTERXML("&lt;t&gt;&lt;s&gt;" &amp; SUBSTITUTE(G7, " / ", "&lt;/s&gt;&lt;s&gt;") &amp; "&lt;/s&gt;&lt;/t&gt;", "//s")),
  0
)</f>
        <v>0</v>
      </c>
    </row>
    <row r="8" spans="1:10" x14ac:dyDescent="0.25">
      <c r="A8" s="68"/>
      <c r="D8" s="70" cm="1">
        <f t="array" ref="D8">IFERROR(
  VALUE(C8) / COUNTA(_xlfn.FILTERXML("&lt;t&gt;&lt;s&gt;" &amp; SUBSTITUTE(B8, " / ", "&lt;/s&gt;&lt;s&gt;") &amp; "&lt;/s&gt;&lt;/t&gt;", "//s")),
  0
)</f>
        <v>0</v>
      </c>
      <c r="E8" s="105"/>
      <c r="F8" s="70"/>
      <c r="I8" s="98" cm="1">
        <f t="array" ref="I8">IFERROR(
  VALUE(H8) / COUNTA(_xlfn.FILTERXML("&lt;t&gt;&lt;s&gt;" &amp; SUBSTITUTE(G8, " / ", "&lt;/s&gt;&lt;s&gt;") &amp; "&lt;/s&gt;&lt;/t&gt;", "//s")),
  0
)</f>
        <v>0</v>
      </c>
    </row>
    <row r="9" spans="1:10" x14ac:dyDescent="0.25">
      <c r="A9" s="68"/>
      <c r="D9" s="70" cm="1">
        <f t="array" ref="D9">IFERROR(
  VALUE(C9) / COUNTA(_xlfn.FILTERXML("&lt;t&gt;&lt;s&gt;" &amp; SUBSTITUTE(B9, " / ", "&lt;/s&gt;&lt;s&gt;") &amp; "&lt;/s&gt;&lt;/t&gt;", "//s")),
  0
)</f>
        <v>0</v>
      </c>
      <c r="E9" s="105"/>
      <c r="F9" s="70"/>
      <c r="I9" s="98" cm="1">
        <f t="array" ref="I9">IFERROR(
  VALUE(H9) / COUNTA(_xlfn.FILTERXML("&lt;t&gt;&lt;s&gt;" &amp; SUBSTITUTE(G9, " / ", "&lt;/s&gt;&lt;s&gt;") &amp; "&lt;/s&gt;&lt;/t&gt;", "//s")),
  0
)</f>
        <v>0</v>
      </c>
    </row>
    <row r="10" spans="1:10" x14ac:dyDescent="0.25">
      <c r="D10" s="70" cm="1">
        <f t="array" ref="D10">IFERROR(
  VALUE(C10) / COUNTA(_xlfn.FILTERXML("&lt;t&gt;&lt;s&gt;" &amp; SUBSTITUTE(B10, " / ", "&lt;/s&gt;&lt;s&gt;") &amp; "&lt;/s&gt;&lt;/t&gt;", "//s")),
  0
)</f>
        <v>0</v>
      </c>
      <c r="I10" s="98" cm="1">
        <f t="array" ref="I10">IFERROR(
  VALUE(H10) / COUNTA(_xlfn.FILTERXML("&lt;t&gt;&lt;s&gt;" &amp; SUBSTITUTE(G10, " / ", "&lt;/s&gt;&lt;s&gt;") &amp; "&lt;/s&gt;&lt;/t&gt;", "//s")),
  0
)</f>
        <v>0</v>
      </c>
    </row>
    <row r="11" spans="1:10" x14ac:dyDescent="0.25">
      <c r="D11" s="70" cm="1">
        <f t="array" ref="D11">IFERROR(
  VALUE(C11) / COUNTA(_xlfn.FILTERXML("&lt;t&gt;&lt;s&gt;" &amp; SUBSTITUTE(B11, " / ", "&lt;/s&gt;&lt;s&gt;") &amp; "&lt;/s&gt;&lt;/t&gt;", "//s")),
  0
)</f>
        <v>0</v>
      </c>
      <c r="I11" s="98" cm="1">
        <f t="array" ref="I11">IFERROR(
  VALUE(H11) / COUNTA(_xlfn.FILTERXML("&lt;t&gt;&lt;s&gt;" &amp; SUBSTITUTE(G11, " / ", "&lt;/s&gt;&lt;s&gt;") &amp; "&lt;/s&gt;&lt;/t&gt;", "//s")),
  0
)</f>
        <v>0</v>
      </c>
    </row>
    <row r="12" spans="1:10" x14ac:dyDescent="0.25">
      <c r="D12" s="70" cm="1">
        <f t="array" ref="D12">IFERROR(
  VALUE(C12) / COUNTA(_xlfn.FILTERXML("&lt;t&gt;&lt;s&gt;" &amp; SUBSTITUTE(B12, " / ", "&lt;/s&gt;&lt;s&gt;") &amp; "&lt;/s&gt;&lt;/t&gt;", "//s")),
  0
)</f>
        <v>0</v>
      </c>
      <c r="I12" s="98" cm="1">
        <f t="array" ref="I12">IFERROR(
  VALUE(H12) / COUNTA(_xlfn.FILTERXML("&lt;t&gt;&lt;s&gt;" &amp; SUBSTITUTE(G12, " / ", "&lt;/s&gt;&lt;s&gt;") &amp; "&lt;/s&gt;&lt;/t&gt;", "//s")),
  0
)</f>
        <v>0</v>
      </c>
    </row>
    <row r="13" spans="1:10" x14ac:dyDescent="0.25">
      <c r="D13" s="70" cm="1">
        <f t="array" ref="D13">IFERROR(
  VALUE(C13) / COUNTA(_xlfn.FILTERXML("&lt;t&gt;&lt;s&gt;" &amp; SUBSTITUTE(B13, " / ", "&lt;/s&gt;&lt;s&gt;") &amp; "&lt;/s&gt;&lt;/t&gt;", "//s")),
  0
)</f>
        <v>0</v>
      </c>
      <c r="I13" s="98" cm="1">
        <f t="array" ref="I13">IFERROR(
  VALUE(H13) / COUNTA(_xlfn.FILTERXML("&lt;t&gt;&lt;s&gt;" &amp; SUBSTITUTE(G13, " / ", "&lt;/s&gt;&lt;s&gt;") &amp; "&lt;/s&gt;&lt;/t&gt;", "//s")),
  0
)</f>
        <v>0</v>
      </c>
    </row>
    <row r="14" spans="1:10" x14ac:dyDescent="0.25">
      <c r="D14" s="70" cm="1">
        <f t="array" ref="D14">IFERROR(
  VALUE(C14) / COUNTA(_xlfn.FILTERXML("&lt;t&gt;&lt;s&gt;" &amp; SUBSTITUTE(B14, " / ", "&lt;/s&gt;&lt;s&gt;") &amp; "&lt;/s&gt;&lt;/t&gt;", "//s")),
  0
)</f>
        <v>0</v>
      </c>
      <c r="I14" s="98" cm="1">
        <f t="array" ref="I14">IFERROR(
  VALUE(H14) / COUNTA(_xlfn.FILTERXML("&lt;t&gt;&lt;s&gt;" &amp; SUBSTITUTE(G14, " / ", "&lt;/s&gt;&lt;s&gt;") &amp; "&lt;/s&gt;&lt;/t&gt;", "//s")),
  0
)</f>
        <v>0</v>
      </c>
    </row>
    <row r="15" spans="1:10" x14ac:dyDescent="0.25">
      <c r="D15" s="70" cm="1">
        <f t="array" ref="D15">IFERROR(
  VALUE(C15) / COUNTA(_xlfn.FILTERXML("&lt;t&gt;&lt;s&gt;" &amp; SUBSTITUTE(B15, " / ", "&lt;/s&gt;&lt;s&gt;") &amp; "&lt;/s&gt;&lt;/t&gt;", "//s")),
  0
)</f>
        <v>0</v>
      </c>
      <c r="I15" s="98" cm="1">
        <f t="array" ref="I15">IFERROR(
  VALUE(H15) / COUNTA(_xlfn.FILTERXML("&lt;t&gt;&lt;s&gt;" &amp; SUBSTITUTE(G15, " / ", "&lt;/s&gt;&lt;s&gt;") &amp; "&lt;/s&gt;&lt;/t&gt;", "//s")),
  0
)</f>
        <v>0</v>
      </c>
    </row>
    <row r="16" spans="1:10" x14ac:dyDescent="0.25">
      <c r="D16" s="70" cm="1">
        <f t="array" ref="D16">IFERROR(
  VALUE(C16) / COUNTA(_xlfn.FILTERXML("&lt;t&gt;&lt;s&gt;" &amp; SUBSTITUTE(B16, " / ", "&lt;/s&gt;&lt;s&gt;") &amp; "&lt;/s&gt;&lt;/t&gt;", "//s")),
  0
)</f>
        <v>0</v>
      </c>
      <c r="I16" s="98" cm="1">
        <f t="array" ref="I16">IFERROR(
  VALUE(H16) / COUNTA(_xlfn.FILTERXML("&lt;t&gt;&lt;s&gt;" &amp; SUBSTITUTE(G16, " / ", "&lt;/s&gt;&lt;s&gt;") &amp; "&lt;/s&gt;&lt;/t&gt;", "//s")),
  0
)</f>
        <v>0</v>
      </c>
    </row>
    <row r="17" spans="4:9" x14ac:dyDescent="0.25">
      <c r="D17" s="70" cm="1">
        <f t="array" ref="D17">IFERROR(
  VALUE(C17) / COUNTA(_xlfn.FILTERXML("&lt;t&gt;&lt;s&gt;" &amp; SUBSTITUTE(B17, " / ", "&lt;/s&gt;&lt;s&gt;") &amp; "&lt;/s&gt;&lt;/t&gt;", "//s")),
  0
)</f>
        <v>0</v>
      </c>
      <c r="I17" s="98" cm="1">
        <f t="array" ref="I17">IFERROR(
  VALUE(H17) / COUNTA(_xlfn.FILTERXML("&lt;t&gt;&lt;s&gt;" &amp; SUBSTITUTE(G17, " / ", "&lt;/s&gt;&lt;s&gt;") &amp; "&lt;/s&gt;&lt;/t&gt;", "//s")),
  0
)</f>
        <v>0</v>
      </c>
    </row>
    <row r="18" spans="4:9" x14ac:dyDescent="0.25">
      <c r="D18" s="70" cm="1">
        <f t="array" ref="D18">IFERROR(
  VALUE(C18) / COUNTA(_xlfn.FILTERXML("&lt;t&gt;&lt;s&gt;" &amp; SUBSTITUTE(B18, " / ", "&lt;/s&gt;&lt;s&gt;") &amp; "&lt;/s&gt;&lt;/t&gt;", "//s")),
  0
)</f>
        <v>0</v>
      </c>
      <c r="I18" s="98" cm="1">
        <f t="array" ref="I18">IFERROR(
  VALUE(H18) / COUNTA(_xlfn.FILTERXML("&lt;t&gt;&lt;s&gt;" &amp; SUBSTITUTE(G18, " / ", "&lt;/s&gt;&lt;s&gt;") &amp; "&lt;/s&gt;&lt;/t&gt;", "//s")),
  0
)</f>
        <v>0</v>
      </c>
    </row>
    <row r="19" spans="4:9" x14ac:dyDescent="0.25">
      <c r="D19" s="70" cm="1">
        <f t="array" ref="D19">IFERROR(
  VALUE(C19) / COUNTA(_xlfn.FILTERXML("&lt;t&gt;&lt;s&gt;" &amp; SUBSTITUTE(B19, " / ", "&lt;/s&gt;&lt;s&gt;") &amp; "&lt;/s&gt;&lt;/t&gt;", "//s")),
  0
)</f>
        <v>0</v>
      </c>
      <c r="I19" s="98" cm="1">
        <f t="array" ref="I19">IFERROR(
  VALUE(H19) / COUNTA(_xlfn.FILTERXML("&lt;t&gt;&lt;s&gt;" &amp; SUBSTITUTE(G19, " / ", "&lt;/s&gt;&lt;s&gt;") &amp; "&lt;/s&gt;&lt;/t&gt;", "//s")),
  0
)</f>
        <v>0</v>
      </c>
    </row>
    <row r="20" spans="4:9" x14ac:dyDescent="0.25">
      <c r="D20" s="70" cm="1">
        <f t="array" ref="D20">IFERROR(
  VALUE(C20) / COUNTA(_xlfn.FILTERXML("&lt;t&gt;&lt;s&gt;" &amp; SUBSTITUTE(B20, " / ", "&lt;/s&gt;&lt;s&gt;") &amp; "&lt;/s&gt;&lt;/t&gt;", "//s")),
  0
)</f>
        <v>0</v>
      </c>
      <c r="I20" s="98" cm="1">
        <f t="array" ref="I20">IFERROR(
  VALUE(H20) / COUNTA(_xlfn.FILTERXML("&lt;t&gt;&lt;s&gt;" &amp; SUBSTITUTE(G20, " / ", "&lt;/s&gt;&lt;s&gt;") &amp; "&lt;/s&gt;&lt;/t&gt;", "//s")),
  0
)</f>
        <v>0</v>
      </c>
    </row>
    <row r="21" spans="4:9" x14ac:dyDescent="0.25">
      <c r="D21" s="70" cm="1">
        <f t="array" ref="D21">IFERROR(
  VALUE(C21) / COUNTA(_xlfn.FILTERXML("&lt;t&gt;&lt;s&gt;" &amp; SUBSTITUTE(B21, " / ", "&lt;/s&gt;&lt;s&gt;") &amp; "&lt;/s&gt;&lt;/t&gt;", "//s")),
  0
)</f>
        <v>0</v>
      </c>
      <c r="I21" s="98" cm="1">
        <f t="array" ref="I21">IFERROR(
  VALUE(H21) / COUNTA(_xlfn.FILTERXML("&lt;t&gt;&lt;s&gt;" &amp; SUBSTITUTE(G21, " / ", "&lt;/s&gt;&lt;s&gt;") &amp; "&lt;/s&gt;&lt;/t&gt;", "//s")),
  0
)</f>
        <v>0</v>
      </c>
    </row>
    <row r="22" spans="4:9" x14ac:dyDescent="0.25">
      <c r="D22" s="70" cm="1">
        <f t="array" ref="D22">IFERROR(
  VALUE(C22) / COUNTA(_xlfn.FILTERXML("&lt;t&gt;&lt;s&gt;" &amp; SUBSTITUTE(B22, " / ", "&lt;/s&gt;&lt;s&gt;") &amp; "&lt;/s&gt;&lt;/t&gt;", "//s")),
  0
)</f>
        <v>0</v>
      </c>
      <c r="I22" s="98" cm="1">
        <f t="array" ref="I22">IFERROR(
  VALUE(H22) / COUNTA(_xlfn.FILTERXML("&lt;t&gt;&lt;s&gt;" &amp; SUBSTITUTE(G22, " / ", "&lt;/s&gt;&lt;s&gt;") &amp; "&lt;/s&gt;&lt;/t&gt;", "//s")),
  0
)</f>
        <v>0</v>
      </c>
    </row>
    <row r="23" spans="4:9" x14ac:dyDescent="0.25">
      <c r="D23" s="70" cm="1">
        <f t="array" ref="D23">IFERROR(
  VALUE(C23) / COUNTA(_xlfn.FILTERXML("&lt;t&gt;&lt;s&gt;" &amp; SUBSTITUTE(B23, " / ", "&lt;/s&gt;&lt;s&gt;") &amp; "&lt;/s&gt;&lt;/t&gt;", "//s")),
  0
)</f>
        <v>0</v>
      </c>
      <c r="I23" s="98" cm="1">
        <f t="array" ref="I23">IFERROR(
  VALUE(H23) / COUNTA(_xlfn.FILTERXML("&lt;t&gt;&lt;s&gt;" &amp; SUBSTITUTE(G23, " / ", "&lt;/s&gt;&lt;s&gt;") &amp; "&lt;/s&gt;&lt;/t&gt;", "//s")),
  0
)</f>
        <v>0</v>
      </c>
    </row>
    <row r="24" spans="4:9" x14ac:dyDescent="0.25">
      <c r="D24" s="70" cm="1">
        <f t="array" ref="D24">IFERROR(
  VALUE(C24) / COUNTA(_xlfn.FILTERXML("&lt;t&gt;&lt;s&gt;" &amp; SUBSTITUTE(B24, " / ", "&lt;/s&gt;&lt;s&gt;") &amp; "&lt;/s&gt;&lt;/t&gt;", "//s")),
  0
)</f>
        <v>0</v>
      </c>
      <c r="I24" s="98" cm="1">
        <f t="array" ref="I24">IFERROR(
  VALUE(H24) / COUNTA(_xlfn.FILTERXML("&lt;t&gt;&lt;s&gt;" &amp; SUBSTITUTE(G24, " / ", "&lt;/s&gt;&lt;s&gt;") &amp; "&lt;/s&gt;&lt;/t&gt;", "//s")),
  0
)</f>
        <v>0</v>
      </c>
    </row>
    <row r="25" spans="4:9" x14ac:dyDescent="0.25">
      <c r="D25" s="70" cm="1">
        <f t="array" ref="D25">IFERROR(
  VALUE(C25) / COUNTA(_xlfn.FILTERXML("&lt;t&gt;&lt;s&gt;" &amp; SUBSTITUTE(B25, " / ", "&lt;/s&gt;&lt;s&gt;") &amp; "&lt;/s&gt;&lt;/t&gt;", "//s")),
  0
)</f>
        <v>0</v>
      </c>
      <c r="I25" s="98" cm="1">
        <f t="array" ref="I25">IFERROR(
  VALUE(H25) / COUNTA(_xlfn.FILTERXML("&lt;t&gt;&lt;s&gt;" &amp; SUBSTITUTE(G25, " / ", "&lt;/s&gt;&lt;s&gt;") &amp; "&lt;/s&gt;&lt;/t&gt;", "//s")),
  0
)</f>
        <v>0</v>
      </c>
    </row>
    <row r="26" spans="4:9" x14ac:dyDescent="0.25">
      <c r="D26" s="70" cm="1">
        <f t="array" ref="D26">IFERROR(
  VALUE(C26) / COUNTA(_xlfn.FILTERXML("&lt;t&gt;&lt;s&gt;" &amp; SUBSTITUTE(B26, " / ", "&lt;/s&gt;&lt;s&gt;") &amp; "&lt;/s&gt;&lt;/t&gt;", "//s")),
  0
)</f>
        <v>0</v>
      </c>
      <c r="I26" s="98" cm="1">
        <f t="array" ref="I26">IFERROR(
  VALUE(H26) / COUNTA(_xlfn.FILTERXML("&lt;t&gt;&lt;s&gt;" &amp; SUBSTITUTE(G26, " / ", "&lt;/s&gt;&lt;s&gt;") &amp; "&lt;/s&gt;&lt;/t&gt;", "//s")),
  0
)</f>
        <v>0</v>
      </c>
    </row>
    <row r="27" spans="4:9" x14ac:dyDescent="0.25">
      <c r="D27" s="70" cm="1">
        <f t="array" ref="D27">IFERROR(
  VALUE(C27) / COUNTA(_xlfn.FILTERXML("&lt;t&gt;&lt;s&gt;" &amp; SUBSTITUTE(B27, " / ", "&lt;/s&gt;&lt;s&gt;") &amp; "&lt;/s&gt;&lt;/t&gt;", "//s")),
  0
)</f>
        <v>0</v>
      </c>
      <c r="I27" s="98" cm="1">
        <f t="array" ref="I27">IFERROR(
  VALUE(H27) / COUNTA(_xlfn.FILTERXML("&lt;t&gt;&lt;s&gt;" &amp; SUBSTITUTE(G27, " / ", "&lt;/s&gt;&lt;s&gt;") &amp; "&lt;/s&gt;&lt;/t&gt;", "//s")),
  0
)</f>
        <v>0</v>
      </c>
    </row>
    <row r="28" spans="4:9" x14ac:dyDescent="0.25">
      <c r="D28" s="70" cm="1">
        <f t="array" ref="D28">IFERROR(
  VALUE(C28) / COUNTA(_xlfn.FILTERXML("&lt;t&gt;&lt;s&gt;" &amp; SUBSTITUTE(B28, " / ", "&lt;/s&gt;&lt;s&gt;") &amp; "&lt;/s&gt;&lt;/t&gt;", "//s")),
  0
)</f>
        <v>0</v>
      </c>
      <c r="I28" s="98" cm="1">
        <f t="array" ref="I28">IFERROR(
  VALUE(H28) / COUNTA(_xlfn.FILTERXML("&lt;t&gt;&lt;s&gt;" &amp; SUBSTITUTE(G28, " / ", "&lt;/s&gt;&lt;s&gt;") &amp; "&lt;/s&gt;&lt;/t&gt;", "//s")),
  0
)</f>
        <v>0</v>
      </c>
    </row>
    <row r="29" spans="4:9" x14ac:dyDescent="0.25">
      <c r="D29" s="70" cm="1">
        <f t="array" ref="D29">IFERROR(
  VALUE(C29) / COUNTA(_xlfn.FILTERXML("&lt;t&gt;&lt;s&gt;" &amp; SUBSTITUTE(B29, " / ", "&lt;/s&gt;&lt;s&gt;") &amp; "&lt;/s&gt;&lt;/t&gt;", "//s")),
  0
)</f>
        <v>0</v>
      </c>
      <c r="I29" s="98" cm="1">
        <f t="array" ref="I29">IFERROR(
  VALUE(H29) / COUNTA(_xlfn.FILTERXML("&lt;t&gt;&lt;s&gt;" &amp; SUBSTITUTE(G29, " / ", "&lt;/s&gt;&lt;s&gt;") &amp; "&lt;/s&gt;&lt;/t&gt;", "//s")),
  0
)</f>
        <v>0</v>
      </c>
    </row>
    <row r="30" spans="4:9" x14ac:dyDescent="0.25">
      <c r="D30" s="70" cm="1">
        <f t="array" ref="D30">IFERROR(
  VALUE(C30) / COUNTA(_xlfn.FILTERXML("&lt;t&gt;&lt;s&gt;" &amp; SUBSTITUTE(B30, " / ", "&lt;/s&gt;&lt;s&gt;") &amp; "&lt;/s&gt;&lt;/t&gt;", "//s")),
  0
)</f>
        <v>0</v>
      </c>
      <c r="I30" s="98" cm="1">
        <f t="array" ref="I30">IFERROR(
  VALUE(H30) / COUNTA(_xlfn.FILTERXML("&lt;t&gt;&lt;s&gt;" &amp; SUBSTITUTE(G30, " / ", "&lt;/s&gt;&lt;s&gt;") &amp; "&lt;/s&gt;&lt;/t&gt;", "//s")),
  0
)</f>
        <v>0</v>
      </c>
    </row>
    <row r="31" spans="4:9" x14ac:dyDescent="0.25">
      <c r="D31" s="70" cm="1">
        <f t="array" ref="D31">IFERROR(
  VALUE(C31) / COUNTA(_xlfn.FILTERXML("&lt;t&gt;&lt;s&gt;" &amp; SUBSTITUTE(B31, " / ", "&lt;/s&gt;&lt;s&gt;") &amp; "&lt;/s&gt;&lt;/t&gt;", "//s")),
  0
)</f>
        <v>0</v>
      </c>
    </row>
    <row r="33" spans="3:9" x14ac:dyDescent="0.25">
      <c r="C33" s="85" t="s">
        <v>194</v>
      </c>
      <c r="D33" s="86">
        <f>SUM(D3:D32)</f>
        <v>0</v>
      </c>
      <c r="H33" s="107" t="s">
        <v>198</v>
      </c>
      <c r="I33" s="98">
        <f>SUM(I3:I30)</f>
        <v>0</v>
      </c>
    </row>
  </sheetData>
  <conditionalFormatting sqref="A1:D1 J1:XFD1">
    <cfRule type="containsText" dxfId="17" priority="3" operator="containsText" text="REC: ">
      <formula>NOT(ISERROR(SEARCH("REC: ",A1)))</formula>
    </cfRule>
    <cfRule type="containsText" dxfId="16" priority="4" operator="containsText" text="MKT: ">
      <formula>NOT(ISERROR(SEARCH("MKT: ",A1)))</formula>
    </cfRule>
  </conditionalFormatting>
  <conditionalFormatting sqref="E1:I1">
    <cfRule type="containsText" dxfId="15" priority="1" operator="containsText" text="REC: ">
      <formula>NOT(ISERROR(SEARCH("REC: ",E1)))</formula>
    </cfRule>
    <cfRule type="containsText" dxfId="14" priority="2" operator="containsText" text="MKT: ">
      <formula>NOT(ISERROR(SEARCH("MKT: ",E1)))</formula>
    </cfRule>
  </conditionalFormatting>
  <hyperlinks>
    <hyperlink ref="C3" location="'MKT Events'!A122" display="'MKT Events'!A122" xr:uid="{11F0362B-F27E-4ACF-B828-07DADCEAC024}"/>
  </hyperlinks>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1A435-7806-4D7A-900C-4466CF8702F5}">
  <dimension ref="A1:J33"/>
  <sheetViews>
    <sheetView workbookViewId="0">
      <selection activeCell="B8" sqref="B8"/>
    </sheetView>
  </sheetViews>
  <sheetFormatPr defaultRowHeight="15" x14ac:dyDescent="0.25"/>
  <cols>
    <col min="1" max="1" width="58.85546875" style="67" bestFit="1" customWidth="1"/>
    <col min="2" max="2" width="25.5703125" style="69" bestFit="1" customWidth="1"/>
    <col min="3" max="3" width="19.5703125" style="70" customWidth="1"/>
    <col min="4" max="4" width="18.5703125" style="67" bestFit="1" customWidth="1"/>
    <col min="5" max="5" width="18.5703125" style="106" bestFit="1" customWidth="1"/>
    <col min="6" max="6" width="60.28515625" style="67" bestFit="1" customWidth="1"/>
    <col min="7" max="7" width="25.5703125" style="67" bestFit="1" customWidth="1"/>
    <col min="8" max="8" width="19.5703125" style="67" bestFit="1" customWidth="1"/>
    <col min="9" max="9" width="31.28515625" style="98" customWidth="1"/>
    <col min="10" max="16384" width="9.140625" style="10"/>
  </cols>
  <sheetData>
    <row r="1" spans="1:10" ht="33" customHeight="1" thickBot="1" x14ac:dyDescent="0.3">
      <c r="A1" s="10"/>
      <c r="B1" s="10"/>
      <c r="C1" s="81"/>
      <c r="D1" s="10"/>
      <c r="E1" s="10"/>
      <c r="F1" s="96"/>
      <c r="G1" s="96"/>
      <c r="H1" s="96"/>
      <c r="I1" s="80"/>
    </row>
    <row r="2" spans="1:10" s="78" customFormat="1" ht="21.75" thickBot="1" x14ac:dyDescent="0.4">
      <c r="A2" s="75" t="s">
        <v>108</v>
      </c>
      <c r="B2" s="76" t="s">
        <v>168</v>
      </c>
      <c r="C2" s="79" t="s">
        <v>167</v>
      </c>
      <c r="D2" s="77" t="s">
        <v>170</v>
      </c>
      <c r="E2" s="104"/>
      <c r="F2" s="109" t="s">
        <v>108</v>
      </c>
      <c r="G2" s="110" t="s">
        <v>168</v>
      </c>
      <c r="H2" s="111" t="s">
        <v>167</v>
      </c>
      <c r="I2" s="112" t="s">
        <v>196</v>
      </c>
      <c r="J2" s="116"/>
    </row>
    <row r="3" spans="1:10" x14ac:dyDescent="0.25">
      <c r="A3" s="72" t="str" cm="1">
        <f t="array" ref="A3:C3">_xlfn._xlws.FILTER(
  CHOOSE({1,2,3},
    Data!B2:B1000,
    Data!H2:H1000,
    Data!N2:N1000
  ),
  (ISNUMBER(SEARCH("Encore", Data!H2:H1000))) *
  (Data!E2:E1000="Approved")
)</f>
        <v>Washington Health Care Association (WHCA) Annual Convention</v>
      </c>
      <c r="B3" s="73" t="str">
        <v>Encore / Aleca</v>
      </c>
      <c r="C3" s="84">
        <v>2600</v>
      </c>
      <c r="D3" s="74" cm="1">
        <f t="array" ref="D3">IFERROR(
  VALUE(C3) / COUNTA(_xlfn.FILTERXML("&lt;t&gt;&lt;s&gt;" &amp; SUBSTITUTE(B3, " / ", "&lt;/s&gt;&lt;s&gt;") &amp; "&lt;/s&gt;&lt;/t&gt;", "//s")),
  0
)</f>
        <v>1300</v>
      </c>
      <c r="E3" s="105"/>
      <c r="F3" s="70" t="str" cm="1">
        <f t="array" ref="F3:H4">_xlfn._xlws.FILTER(
  CHOOSE({1,2,3},
    Data!B2:B1000,
    Data!H2:H1000,
    Data!N2:N1000
  ),
  (ISNUMBER(SEARCH("Encore", Data!H2:H1000))) *
  (
    (Data!E2:E1000="Not Approved") +
    ISNUMBER(SEARCH("Pending", Data!E2:E1000)) +
    (Data!E2:E1000="Approved")
  )
)</f>
        <v>Seattle Nursing Research Workshop &amp; Conference</v>
      </c>
      <c r="G3" s="67" t="str">
        <v>Alante / Aleca / Encore</v>
      </c>
      <c r="H3" s="67">
        <v>275</v>
      </c>
      <c r="I3" s="98" cm="1">
        <f t="array" ref="I3">IFERROR(
  VALUE(H3) / COUNTA(_xlfn.FILTERXML("&lt;t&gt;&lt;s&gt;" &amp; SUBSTITUTE(G3, " / ", "&lt;/s&gt;&lt;s&gt;") &amp; "&lt;/s&gt;&lt;/t&gt;", "//s")),
  0
)</f>
        <v>91.666666666666671</v>
      </c>
    </row>
    <row r="4" spans="1:10" x14ac:dyDescent="0.25">
      <c r="A4" s="68"/>
      <c r="D4" s="70" cm="1">
        <f t="array" ref="D4">IFERROR(
  VALUE(C4) / COUNTA(_xlfn.FILTERXML("&lt;t&gt;&lt;s&gt;" &amp; SUBSTITUTE(B4, " / ", "&lt;/s&gt;&lt;s&gt;") &amp; "&lt;/s&gt;&lt;/t&gt;", "//s")),
  0
)</f>
        <v>0</v>
      </c>
      <c r="E4" s="105"/>
      <c r="F4" s="70" t="str">
        <v>Washington Health Care Association (WHCA) Annual Convention</v>
      </c>
      <c r="G4" s="67" t="str">
        <v>Encore / Aleca</v>
      </c>
      <c r="H4" s="67">
        <v>2600</v>
      </c>
      <c r="I4" s="98" cm="1">
        <f t="array" ref="I4">IFERROR(
  VALUE(H4) / COUNTA(_xlfn.FILTERXML("&lt;t&gt;&lt;s&gt;" &amp; SUBSTITUTE(G4, " / ", "&lt;/s&gt;&lt;s&gt;") &amp; "&lt;/s&gt;&lt;/t&gt;", "//s")),
  0
)</f>
        <v>1300</v>
      </c>
    </row>
    <row r="5" spans="1:10" x14ac:dyDescent="0.25">
      <c r="D5" s="70" cm="1">
        <f t="array" ref="D5">IFERROR(
  VALUE(C5) / COUNTA(_xlfn.FILTERXML("&lt;t&gt;&lt;s&gt;" &amp; SUBSTITUTE(B5, " / ", "&lt;/s&gt;&lt;s&gt;") &amp; "&lt;/s&gt;&lt;/t&gt;", "//s")),
  0
)</f>
        <v>0</v>
      </c>
      <c r="E5" s="105"/>
      <c r="F5" s="70"/>
      <c r="I5" s="98" cm="1">
        <f t="array" ref="I5">IFERROR(
  VALUE(H5) / COUNTA(_xlfn.FILTERXML("&lt;t&gt;&lt;s&gt;" &amp; SUBSTITUTE(G5, " / ", "&lt;/s&gt;&lt;s&gt;") &amp; "&lt;/s&gt;&lt;/t&gt;", "//s")),
  0
)</f>
        <v>0</v>
      </c>
    </row>
    <row r="6" spans="1:10" x14ac:dyDescent="0.25">
      <c r="A6" s="68"/>
      <c r="D6" s="70" cm="1">
        <f t="array" ref="D6">IFERROR(
  VALUE(C6) / COUNTA(_xlfn.FILTERXML("&lt;t&gt;&lt;s&gt;" &amp; SUBSTITUTE(B6, " / ", "&lt;/s&gt;&lt;s&gt;") &amp; "&lt;/s&gt;&lt;/t&gt;", "//s")),
  0
)</f>
        <v>0</v>
      </c>
      <c r="E6" s="105"/>
      <c r="F6" s="70"/>
      <c r="I6" s="98" cm="1">
        <f t="array" ref="I6">IFERROR(
  VALUE(H6) / COUNTA(_xlfn.FILTERXML("&lt;t&gt;&lt;s&gt;" &amp; SUBSTITUTE(G6, " / ", "&lt;/s&gt;&lt;s&gt;") &amp; "&lt;/s&gt;&lt;/t&gt;", "//s")),
  0
)</f>
        <v>0</v>
      </c>
    </row>
    <row r="7" spans="1:10" x14ac:dyDescent="0.25">
      <c r="D7" s="70" cm="1">
        <f t="array" ref="D7">IFERROR(
  VALUE(C7) / COUNTA(_xlfn.FILTERXML("&lt;t&gt;&lt;s&gt;" &amp; SUBSTITUTE(B7, " / ", "&lt;/s&gt;&lt;s&gt;") &amp; "&lt;/s&gt;&lt;/t&gt;", "//s")),
  0
)</f>
        <v>0</v>
      </c>
      <c r="E7" s="105"/>
      <c r="F7" s="70"/>
      <c r="I7" s="98" cm="1">
        <f t="array" ref="I7">IFERROR(
  VALUE(H7) / COUNTA(_xlfn.FILTERXML("&lt;t&gt;&lt;s&gt;" &amp; SUBSTITUTE(G7, " / ", "&lt;/s&gt;&lt;s&gt;") &amp; "&lt;/s&gt;&lt;/t&gt;", "//s")),
  0
)</f>
        <v>0</v>
      </c>
    </row>
    <row r="8" spans="1:10" x14ac:dyDescent="0.25">
      <c r="A8" s="68"/>
      <c r="D8" s="70" cm="1">
        <f t="array" ref="D8">IFERROR(
  VALUE(C8) / COUNTA(_xlfn.FILTERXML("&lt;t&gt;&lt;s&gt;" &amp; SUBSTITUTE(B8, " / ", "&lt;/s&gt;&lt;s&gt;") &amp; "&lt;/s&gt;&lt;/t&gt;", "//s")),
  0
)</f>
        <v>0</v>
      </c>
      <c r="E8" s="105"/>
      <c r="F8" s="70"/>
      <c r="I8" s="98" cm="1">
        <f t="array" ref="I8">IFERROR(
  VALUE(H8) / COUNTA(_xlfn.FILTERXML("&lt;t&gt;&lt;s&gt;" &amp; SUBSTITUTE(G8, " / ", "&lt;/s&gt;&lt;s&gt;") &amp; "&lt;/s&gt;&lt;/t&gt;", "//s")),
  0
)</f>
        <v>0</v>
      </c>
    </row>
    <row r="9" spans="1:10" x14ac:dyDescent="0.25">
      <c r="A9" s="68"/>
      <c r="D9" s="70" cm="1">
        <f t="array" ref="D9">IFERROR(
  VALUE(C9) / COUNTA(_xlfn.FILTERXML("&lt;t&gt;&lt;s&gt;" &amp; SUBSTITUTE(B9, " / ", "&lt;/s&gt;&lt;s&gt;") &amp; "&lt;/s&gt;&lt;/t&gt;", "//s")),
  0
)</f>
        <v>0</v>
      </c>
      <c r="E9" s="105"/>
      <c r="F9" s="70"/>
      <c r="I9" s="98" cm="1">
        <f t="array" ref="I9">IFERROR(
  VALUE(H9) / COUNTA(_xlfn.FILTERXML("&lt;t&gt;&lt;s&gt;" &amp; SUBSTITUTE(G9, " / ", "&lt;/s&gt;&lt;s&gt;") &amp; "&lt;/s&gt;&lt;/t&gt;", "//s")),
  0
)</f>
        <v>0</v>
      </c>
    </row>
    <row r="10" spans="1:10" x14ac:dyDescent="0.25">
      <c r="D10" s="70" cm="1">
        <f t="array" ref="D10">IFERROR(
  VALUE(C10) / COUNTA(_xlfn.FILTERXML("&lt;t&gt;&lt;s&gt;" &amp; SUBSTITUTE(B10, " / ", "&lt;/s&gt;&lt;s&gt;") &amp; "&lt;/s&gt;&lt;/t&gt;", "//s")),
  0
)</f>
        <v>0</v>
      </c>
      <c r="I10" s="98" cm="1">
        <f t="array" ref="I10">IFERROR(
  VALUE(H10) / COUNTA(_xlfn.FILTERXML("&lt;t&gt;&lt;s&gt;" &amp; SUBSTITUTE(G10, " / ", "&lt;/s&gt;&lt;s&gt;") &amp; "&lt;/s&gt;&lt;/t&gt;", "//s")),
  0
)</f>
        <v>0</v>
      </c>
    </row>
    <row r="11" spans="1:10" x14ac:dyDescent="0.25">
      <c r="D11" s="70" cm="1">
        <f t="array" ref="D11">IFERROR(
  VALUE(C11) / COUNTA(_xlfn.FILTERXML("&lt;t&gt;&lt;s&gt;" &amp; SUBSTITUTE(B11, " / ", "&lt;/s&gt;&lt;s&gt;") &amp; "&lt;/s&gt;&lt;/t&gt;", "//s")),
  0
)</f>
        <v>0</v>
      </c>
      <c r="I11" s="98" cm="1">
        <f t="array" ref="I11">IFERROR(
  VALUE(H11) / COUNTA(_xlfn.FILTERXML("&lt;t&gt;&lt;s&gt;" &amp; SUBSTITUTE(G11, " / ", "&lt;/s&gt;&lt;s&gt;") &amp; "&lt;/s&gt;&lt;/t&gt;", "//s")),
  0
)</f>
        <v>0</v>
      </c>
    </row>
    <row r="12" spans="1:10" x14ac:dyDescent="0.25">
      <c r="D12" s="70" cm="1">
        <f t="array" ref="D12">IFERROR(
  VALUE(C12) / COUNTA(_xlfn.FILTERXML("&lt;t&gt;&lt;s&gt;" &amp; SUBSTITUTE(B12, " / ", "&lt;/s&gt;&lt;s&gt;") &amp; "&lt;/s&gt;&lt;/t&gt;", "//s")),
  0
)</f>
        <v>0</v>
      </c>
      <c r="I12" s="98" cm="1">
        <f t="array" ref="I12">IFERROR(
  VALUE(H12) / COUNTA(_xlfn.FILTERXML("&lt;t&gt;&lt;s&gt;" &amp; SUBSTITUTE(G12, " / ", "&lt;/s&gt;&lt;s&gt;") &amp; "&lt;/s&gt;&lt;/t&gt;", "//s")),
  0
)</f>
        <v>0</v>
      </c>
    </row>
    <row r="13" spans="1:10" x14ac:dyDescent="0.25">
      <c r="D13" s="70" cm="1">
        <f t="array" ref="D13">IFERROR(
  VALUE(C13) / COUNTA(_xlfn.FILTERXML("&lt;t&gt;&lt;s&gt;" &amp; SUBSTITUTE(B13, " / ", "&lt;/s&gt;&lt;s&gt;") &amp; "&lt;/s&gt;&lt;/t&gt;", "//s")),
  0
)</f>
        <v>0</v>
      </c>
      <c r="I13" s="98" cm="1">
        <f t="array" ref="I13">IFERROR(
  VALUE(H13) / COUNTA(_xlfn.FILTERXML("&lt;t&gt;&lt;s&gt;" &amp; SUBSTITUTE(G13, " / ", "&lt;/s&gt;&lt;s&gt;") &amp; "&lt;/s&gt;&lt;/t&gt;", "//s")),
  0
)</f>
        <v>0</v>
      </c>
    </row>
    <row r="14" spans="1:10" x14ac:dyDescent="0.25">
      <c r="D14" s="70" cm="1">
        <f t="array" ref="D14">IFERROR(
  VALUE(C14) / COUNTA(_xlfn.FILTERXML("&lt;t&gt;&lt;s&gt;" &amp; SUBSTITUTE(B14, " / ", "&lt;/s&gt;&lt;s&gt;") &amp; "&lt;/s&gt;&lt;/t&gt;", "//s")),
  0
)</f>
        <v>0</v>
      </c>
      <c r="I14" s="98" cm="1">
        <f t="array" ref="I14">IFERROR(
  VALUE(H14) / COUNTA(_xlfn.FILTERXML("&lt;t&gt;&lt;s&gt;" &amp; SUBSTITUTE(G14, " / ", "&lt;/s&gt;&lt;s&gt;") &amp; "&lt;/s&gt;&lt;/t&gt;", "//s")),
  0
)</f>
        <v>0</v>
      </c>
    </row>
    <row r="15" spans="1:10" x14ac:dyDescent="0.25">
      <c r="D15" s="70" cm="1">
        <f t="array" ref="D15">IFERROR(
  VALUE(C15) / COUNTA(_xlfn.FILTERXML("&lt;t&gt;&lt;s&gt;" &amp; SUBSTITUTE(B15, " / ", "&lt;/s&gt;&lt;s&gt;") &amp; "&lt;/s&gt;&lt;/t&gt;", "//s")),
  0
)</f>
        <v>0</v>
      </c>
      <c r="I15" s="98" cm="1">
        <f t="array" ref="I15">IFERROR(
  VALUE(H15) / COUNTA(_xlfn.FILTERXML("&lt;t&gt;&lt;s&gt;" &amp; SUBSTITUTE(G15, " / ", "&lt;/s&gt;&lt;s&gt;") &amp; "&lt;/s&gt;&lt;/t&gt;", "//s")),
  0
)</f>
        <v>0</v>
      </c>
    </row>
    <row r="16" spans="1:10" x14ac:dyDescent="0.25">
      <c r="D16" s="70" cm="1">
        <f t="array" ref="D16">IFERROR(
  VALUE(C16) / COUNTA(_xlfn.FILTERXML("&lt;t&gt;&lt;s&gt;" &amp; SUBSTITUTE(B16, " / ", "&lt;/s&gt;&lt;s&gt;") &amp; "&lt;/s&gt;&lt;/t&gt;", "//s")),
  0
)</f>
        <v>0</v>
      </c>
      <c r="I16" s="98" cm="1">
        <f t="array" ref="I16">IFERROR(
  VALUE(H16) / COUNTA(_xlfn.FILTERXML("&lt;t&gt;&lt;s&gt;" &amp; SUBSTITUTE(G16, " / ", "&lt;/s&gt;&lt;s&gt;") &amp; "&lt;/s&gt;&lt;/t&gt;", "//s")),
  0
)</f>
        <v>0</v>
      </c>
    </row>
    <row r="17" spans="4:9" x14ac:dyDescent="0.25">
      <c r="D17" s="70" cm="1">
        <f t="array" ref="D17">IFERROR(
  VALUE(C17) / COUNTA(_xlfn.FILTERXML("&lt;t&gt;&lt;s&gt;" &amp; SUBSTITUTE(B17, " / ", "&lt;/s&gt;&lt;s&gt;") &amp; "&lt;/s&gt;&lt;/t&gt;", "//s")),
  0
)</f>
        <v>0</v>
      </c>
      <c r="I17" s="98" cm="1">
        <f t="array" ref="I17">IFERROR(
  VALUE(H17) / COUNTA(_xlfn.FILTERXML("&lt;t&gt;&lt;s&gt;" &amp; SUBSTITUTE(G17, " / ", "&lt;/s&gt;&lt;s&gt;") &amp; "&lt;/s&gt;&lt;/t&gt;", "//s")),
  0
)</f>
        <v>0</v>
      </c>
    </row>
    <row r="18" spans="4:9" x14ac:dyDescent="0.25">
      <c r="D18" s="70" cm="1">
        <f t="array" ref="D18">IFERROR(
  VALUE(C18) / COUNTA(_xlfn.FILTERXML("&lt;t&gt;&lt;s&gt;" &amp; SUBSTITUTE(B18, " / ", "&lt;/s&gt;&lt;s&gt;") &amp; "&lt;/s&gt;&lt;/t&gt;", "//s")),
  0
)</f>
        <v>0</v>
      </c>
      <c r="I18" s="98" cm="1">
        <f t="array" ref="I18">IFERROR(
  VALUE(H18) / COUNTA(_xlfn.FILTERXML("&lt;t&gt;&lt;s&gt;" &amp; SUBSTITUTE(G18, " / ", "&lt;/s&gt;&lt;s&gt;") &amp; "&lt;/s&gt;&lt;/t&gt;", "//s")),
  0
)</f>
        <v>0</v>
      </c>
    </row>
    <row r="19" spans="4:9" x14ac:dyDescent="0.25">
      <c r="D19" s="70" cm="1">
        <f t="array" ref="D19">IFERROR(
  VALUE(C19) / COUNTA(_xlfn.FILTERXML("&lt;t&gt;&lt;s&gt;" &amp; SUBSTITUTE(B19, " / ", "&lt;/s&gt;&lt;s&gt;") &amp; "&lt;/s&gt;&lt;/t&gt;", "//s")),
  0
)</f>
        <v>0</v>
      </c>
      <c r="I19" s="98" cm="1">
        <f t="array" ref="I19">IFERROR(
  VALUE(H19) / COUNTA(_xlfn.FILTERXML("&lt;t&gt;&lt;s&gt;" &amp; SUBSTITUTE(G19, " / ", "&lt;/s&gt;&lt;s&gt;") &amp; "&lt;/s&gt;&lt;/t&gt;", "//s")),
  0
)</f>
        <v>0</v>
      </c>
    </row>
    <row r="20" spans="4:9" x14ac:dyDescent="0.25">
      <c r="D20" s="70" cm="1">
        <f t="array" ref="D20">IFERROR(
  VALUE(C20) / COUNTA(_xlfn.FILTERXML("&lt;t&gt;&lt;s&gt;" &amp; SUBSTITUTE(B20, " / ", "&lt;/s&gt;&lt;s&gt;") &amp; "&lt;/s&gt;&lt;/t&gt;", "//s")),
  0
)</f>
        <v>0</v>
      </c>
      <c r="I20" s="98" cm="1">
        <f t="array" ref="I20">IFERROR(
  VALUE(H20) / COUNTA(_xlfn.FILTERXML("&lt;t&gt;&lt;s&gt;" &amp; SUBSTITUTE(G20, " / ", "&lt;/s&gt;&lt;s&gt;") &amp; "&lt;/s&gt;&lt;/t&gt;", "//s")),
  0
)</f>
        <v>0</v>
      </c>
    </row>
    <row r="21" spans="4:9" x14ac:dyDescent="0.25">
      <c r="D21" s="70" cm="1">
        <f t="array" ref="D21">IFERROR(
  VALUE(C21) / COUNTA(_xlfn.FILTERXML("&lt;t&gt;&lt;s&gt;" &amp; SUBSTITUTE(B21, " / ", "&lt;/s&gt;&lt;s&gt;") &amp; "&lt;/s&gt;&lt;/t&gt;", "//s")),
  0
)</f>
        <v>0</v>
      </c>
      <c r="I21" s="98" cm="1">
        <f t="array" ref="I21">IFERROR(
  VALUE(H21) / COUNTA(_xlfn.FILTERXML("&lt;t&gt;&lt;s&gt;" &amp; SUBSTITUTE(G21, " / ", "&lt;/s&gt;&lt;s&gt;") &amp; "&lt;/s&gt;&lt;/t&gt;", "//s")),
  0
)</f>
        <v>0</v>
      </c>
    </row>
    <row r="22" spans="4:9" x14ac:dyDescent="0.25">
      <c r="D22" s="70" cm="1">
        <f t="array" ref="D22">IFERROR(
  VALUE(C22) / COUNTA(_xlfn.FILTERXML("&lt;t&gt;&lt;s&gt;" &amp; SUBSTITUTE(B22, " / ", "&lt;/s&gt;&lt;s&gt;") &amp; "&lt;/s&gt;&lt;/t&gt;", "//s")),
  0
)</f>
        <v>0</v>
      </c>
      <c r="I22" s="98" cm="1">
        <f t="array" ref="I22">IFERROR(
  VALUE(H22) / COUNTA(_xlfn.FILTERXML("&lt;t&gt;&lt;s&gt;" &amp; SUBSTITUTE(G22, " / ", "&lt;/s&gt;&lt;s&gt;") &amp; "&lt;/s&gt;&lt;/t&gt;", "//s")),
  0
)</f>
        <v>0</v>
      </c>
    </row>
    <row r="23" spans="4:9" x14ac:dyDescent="0.25">
      <c r="D23" s="70" cm="1">
        <f t="array" ref="D23">IFERROR(
  VALUE(C23) / COUNTA(_xlfn.FILTERXML("&lt;t&gt;&lt;s&gt;" &amp; SUBSTITUTE(B23, " / ", "&lt;/s&gt;&lt;s&gt;") &amp; "&lt;/s&gt;&lt;/t&gt;", "//s")),
  0
)</f>
        <v>0</v>
      </c>
      <c r="I23" s="98" cm="1">
        <f t="array" ref="I23">IFERROR(
  VALUE(H23) / COUNTA(_xlfn.FILTERXML("&lt;t&gt;&lt;s&gt;" &amp; SUBSTITUTE(G23, " / ", "&lt;/s&gt;&lt;s&gt;") &amp; "&lt;/s&gt;&lt;/t&gt;", "//s")),
  0
)</f>
        <v>0</v>
      </c>
    </row>
    <row r="24" spans="4:9" x14ac:dyDescent="0.25">
      <c r="D24" s="70" cm="1">
        <f t="array" ref="D24">IFERROR(
  VALUE(C24) / COUNTA(_xlfn.FILTERXML("&lt;t&gt;&lt;s&gt;" &amp; SUBSTITUTE(B24, " / ", "&lt;/s&gt;&lt;s&gt;") &amp; "&lt;/s&gt;&lt;/t&gt;", "//s")),
  0
)</f>
        <v>0</v>
      </c>
      <c r="I24" s="98" cm="1">
        <f t="array" ref="I24">IFERROR(
  VALUE(H24) / COUNTA(_xlfn.FILTERXML("&lt;t&gt;&lt;s&gt;" &amp; SUBSTITUTE(G24, " / ", "&lt;/s&gt;&lt;s&gt;") &amp; "&lt;/s&gt;&lt;/t&gt;", "//s")),
  0
)</f>
        <v>0</v>
      </c>
    </row>
    <row r="25" spans="4:9" x14ac:dyDescent="0.25">
      <c r="D25" s="70" cm="1">
        <f t="array" ref="D25">IFERROR(
  VALUE(C25) / COUNTA(_xlfn.FILTERXML("&lt;t&gt;&lt;s&gt;" &amp; SUBSTITUTE(B25, " / ", "&lt;/s&gt;&lt;s&gt;") &amp; "&lt;/s&gt;&lt;/t&gt;", "//s")),
  0
)</f>
        <v>0</v>
      </c>
      <c r="I25" s="98" cm="1">
        <f t="array" ref="I25">IFERROR(
  VALUE(H25) / COUNTA(_xlfn.FILTERXML("&lt;t&gt;&lt;s&gt;" &amp; SUBSTITUTE(G25, " / ", "&lt;/s&gt;&lt;s&gt;") &amp; "&lt;/s&gt;&lt;/t&gt;", "//s")),
  0
)</f>
        <v>0</v>
      </c>
    </row>
    <row r="26" spans="4:9" x14ac:dyDescent="0.25">
      <c r="D26" s="70" cm="1">
        <f t="array" ref="D26">IFERROR(
  VALUE(C26) / COUNTA(_xlfn.FILTERXML("&lt;t&gt;&lt;s&gt;" &amp; SUBSTITUTE(B26, " / ", "&lt;/s&gt;&lt;s&gt;") &amp; "&lt;/s&gt;&lt;/t&gt;", "//s")),
  0
)</f>
        <v>0</v>
      </c>
      <c r="I26" s="98" cm="1">
        <f t="array" ref="I26">IFERROR(
  VALUE(H26) / COUNTA(_xlfn.FILTERXML("&lt;t&gt;&lt;s&gt;" &amp; SUBSTITUTE(G26, " / ", "&lt;/s&gt;&lt;s&gt;") &amp; "&lt;/s&gt;&lt;/t&gt;", "//s")),
  0
)</f>
        <v>0</v>
      </c>
    </row>
    <row r="27" spans="4:9" x14ac:dyDescent="0.25">
      <c r="D27" s="70" cm="1">
        <f t="array" ref="D27">IFERROR(
  VALUE(C27) / COUNTA(_xlfn.FILTERXML("&lt;t&gt;&lt;s&gt;" &amp; SUBSTITUTE(B27, " / ", "&lt;/s&gt;&lt;s&gt;") &amp; "&lt;/s&gt;&lt;/t&gt;", "//s")),
  0
)</f>
        <v>0</v>
      </c>
      <c r="I27" s="98" cm="1">
        <f t="array" ref="I27">IFERROR(
  VALUE(H27) / COUNTA(_xlfn.FILTERXML("&lt;t&gt;&lt;s&gt;" &amp; SUBSTITUTE(G27, " / ", "&lt;/s&gt;&lt;s&gt;") &amp; "&lt;/s&gt;&lt;/t&gt;", "//s")),
  0
)</f>
        <v>0</v>
      </c>
    </row>
    <row r="28" spans="4:9" x14ac:dyDescent="0.25">
      <c r="D28" s="70" cm="1">
        <f t="array" ref="D28">IFERROR(
  VALUE(C28) / COUNTA(_xlfn.FILTERXML("&lt;t&gt;&lt;s&gt;" &amp; SUBSTITUTE(B28, " / ", "&lt;/s&gt;&lt;s&gt;") &amp; "&lt;/s&gt;&lt;/t&gt;", "//s")),
  0
)</f>
        <v>0</v>
      </c>
      <c r="I28" s="98" cm="1">
        <f t="array" ref="I28">IFERROR(
  VALUE(H28) / COUNTA(_xlfn.FILTERXML("&lt;t&gt;&lt;s&gt;" &amp; SUBSTITUTE(G28, " / ", "&lt;/s&gt;&lt;s&gt;") &amp; "&lt;/s&gt;&lt;/t&gt;", "//s")),
  0
)</f>
        <v>0</v>
      </c>
    </row>
    <row r="29" spans="4:9" x14ac:dyDescent="0.25">
      <c r="D29" s="70" cm="1">
        <f t="array" ref="D29">IFERROR(
  VALUE(C29) / COUNTA(_xlfn.FILTERXML("&lt;t&gt;&lt;s&gt;" &amp; SUBSTITUTE(B29, " / ", "&lt;/s&gt;&lt;s&gt;") &amp; "&lt;/s&gt;&lt;/t&gt;", "//s")),
  0
)</f>
        <v>0</v>
      </c>
      <c r="I29" s="98" cm="1">
        <f t="array" ref="I29">IFERROR(
  VALUE(H29) / COUNTA(_xlfn.FILTERXML("&lt;t&gt;&lt;s&gt;" &amp; SUBSTITUTE(G29, " / ", "&lt;/s&gt;&lt;s&gt;") &amp; "&lt;/s&gt;&lt;/t&gt;", "//s")),
  0
)</f>
        <v>0</v>
      </c>
    </row>
    <row r="30" spans="4:9" x14ac:dyDescent="0.25">
      <c r="D30" s="70" cm="1">
        <f t="array" ref="D30">IFERROR(
  VALUE(C30) / COUNTA(_xlfn.FILTERXML("&lt;t&gt;&lt;s&gt;" &amp; SUBSTITUTE(B30, " / ", "&lt;/s&gt;&lt;s&gt;") &amp; "&lt;/s&gt;&lt;/t&gt;", "//s")),
  0
)</f>
        <v>0</v>
      </c>
      <c r="I30" s="98" cm="1">
        <f t="array" ref="I30">IFERROR(
  VALUE(H30) / COUNTA(_xlfn.FILTERXML("&lt;t&gt;&lt;s&gt;" &amp; SUBSTITUTE(G30, " / ", "&lt;/s&gt;&lt;s&gt;") &amp; "&lt;/s&gt;&lt;/t&gt;", "//s")),
  0
)</f>
        <v>0</v>
      </c>
    </row>
    <row r="31" spans="4:9" x14ac:dyDescent="0.25">
      <c r="D31" s="70" cm="1">
        <f t="array" ref="D31">IFERROR(
  VALUE(C31) / COUNTA(_xlfn.FILTERXML("&lt;t&gt;&lt;s&gt;" &amp; SUBSTITUTE(B31, " / ", "&lt;/s&gt;&lt;s&gt;") &amp; "&lt;/s&gt;&lt;/t&gt;", "//s")),
  0
)</f>
        <v>0</v>
      </c>
    </row>
    <row r="33" spans="3:9" x14ac:dyDescent="0.25">
      <c r="C33" s="85" t="s">
        <v>194</v>
      </c>
      <c r="D33" s="86">
        <f>SUM(D3:D32)</f>
        <v>1300</v>
      </c>
      <c r="H33" s="107" t="s">
        <v>198</v>
      </c>
      <c r="I33" s="98">
        <f>SUM(I3:I30)</f>
        <v>1391.6666666666667</v>
      </c>
    </row>
  </sheetData>
  <conditionalFormatting sqref="A1:D1 J1:XFD1">
    <cfRule type="containsText" dxfId="8" priority="3" operator="containsText" text="REC: ">
      <formula>NOT(ISERROR(SEARCH("REC: ",A1)))</formula>
    </cfRule>
    <cfRule type="containsText" dxfId="7" priority="4" operator="containsText" text="MKT: ">
      <formula>NOT(ISERROR(SEARCH("MKT: ",A1)))</formula>
    </cfRule>
  </conditionalFormatting>
  <conditionalFormatting sqref="E1:I1">
    <cfRule type="containsText" dxfId="6" priority="1" operator="containsText" text="REC: ">
      <formula>NOT(ISERROR(SEARCH("REC: ",E1)))</formula>
    </cfRule>
    <cfRule type="containsText" dxfId="5" priority="2" operator="containsText" text="MKT: ">
      <formula>NOT(ISERROR(SEARCH("MKT: ",E1)))</formula>
    </cfRule>
  </conditionalFormatting>
  <hyperlinks>
    <hyperlink ref="C3" location="'MKT Events'!A122" display="'MKT Events'!A122" xr:uid="{BF58790B-83AE-4F7B-9219-EE72F92D2471}"/>
  </hyperlinks>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652230-69BC-49DE-A8A4-EDB387B891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Home</vt:lpstr>
      <vt:lpstr>January</vt:lpstr>
      <vt:lpstr>February</vt:lpstr>
      <vt:lpstr>March</vt:lpstr>
      <vt:lpstr>April</vt:lpstr>
      <vt:lpstr>May</vt:lpstr>
      <vt:lpstr>June</vt:lpstr>
      <vt:lpstr>July</vt:lpstr>
      <vt:lpstr>August</vt:lpstr>
      <vt:lpstr>September</vt:lpstr>
      <vt:lpstr>October</vt:lpstr>
      <vt:lpstr>November</vt:lpstr>
      <vt:lpstr>December</vt:lpstr>
      <vt:lpstr>MKT Events</vt:lpstr>
      <vt:lpstr>Recruiting Events</vt:lpstr>
      <vt:lpstr>Data</vt:lpstr>
      <vt:lpstr>Sante</vt:lpstr>
      <vt:lpstr>Sante BS</vt:lpstr>
      <vt:lpstr>Aleca</vt:lpstr>
      <vt:lpstr>Alante</vt:lpstr>
      <vt:lpstr>Alumus</vt:lpstr>
      <vt:lpstr>Encore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Krausse</dc:creator>
  <cp:lastModifiedBy>Gabriel Krausse</cp:lastModifiedBy>
  <dcterms:created xsi:type="dcterms:W3CDTF">2025-03-05T17:59:07Z</dcterms:created>
  <dcterms:modified xsi:type="dcterms:W3CDTF">2025-04-21T19:14:06Z</dcterms:modified>
</cp:coreProperties>
</file>